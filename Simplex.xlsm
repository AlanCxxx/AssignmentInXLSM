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checkCompatibility="1" defaultThemeVersion="124226"/>
  <bookViews>
    <workbookView xWindow="120" yWindow="30" windowWidth="9720" windowHeight="7320"/>
  </bookViews>
  <sheets>
    <sheet name="Usage" sheetId="16" r:id="rId1"/>
    <sheet name="LP Model" sheetId="7" r:id="rId2"/>
    <sheet name="Results" sheetId="17" r:id="rId3"/>
    <sheet name="LP Model (7)" sheetId="15" r:id="rId4"/>
    <sheet name="LP Model (8)" sheetId="14" r:id="rId5"/>
    <sheet name="LP Model (9)" sheetId="13" r:id="rId6"/>
    <sheet name="LP Model (10)" sheetId="12" r:id="rId7"/>
    <sheet name="LP Model (11)" sheetId="11" r:id="rId8"/>
    <sheet name="LP Model (12)" sheetId="9" r:id="rId9"/>
    <sheet name="LP Model (13)" sheetId="10" r:id="rId10"/>
  </sheets>
  <calcPr calcId="145621"/>
</workbook>
</file>

<file path=xl/calcChain.xml><?xml version="1.0" encoding="utf-8"?>
<calcChain xmlns="http://schemas.openxmlformats.org/spreadsheetml/2006/main">
  <c r="A80" i="16" l="1"/>
  <c r="A79" i="16" s="1"/>
  <c r="B80" i="16"/>
  <c r="B79" i="16" s="1"/>
  <c r="C80" i="16"/>
  <c r="A81" i="16"/>
  <c r="B81" i="16"/>
  <c r="C81" i="16" s="1"/>
  <c r="A82" i="16"/>
  <c r="B82" i="16"/>
  <c r="C82" i="16"/>
  <c r="A83" i="16"/>
  <c r="B83" i="16"/>
  <c r="C83" i="16" s="1"/>
  <c r="C86" i="16"/>
  <c r="L27" i="7"/>
  <c r="K27" i="7"/>
  <c r="J27" i="7"/>
  <c r="I27" i="7"/>
  <c r="H27" i="7"/>
  <c r="G27" i="7"/>
  <c r="F27" i="7"/>
  <c r="E27" i="7"/>
  <c r="D27" i="7"/>
  <c r="C27" i="7"/>
  <c r="B27" i="7"/>
  <c r="A27" i="7"/>
  <c r="M27" i="7" s="1"/>
  <c r="L26" i="7"/>
  <c r="K26" i="7"/>
  <c r="J26" i="7"/>
  <c r="I26" i="7"/>
  <c r="H26" i="7"/>
  <c r="G26" i="7"/>
  <c r="F26" i="7"/>
  <c r="E26" i="7"/>
  <c r="D26" i="7"/>
  <c r="C26" i="7"/>
  <c r="B26" i="7"/>
  <c r="A26" i="7"/>
  <c r="M26" i="7" s="1"/>
  <c r="L25" i="7"/>
  <c r="K25" i="7"/>
  <c r="J25" i="7"/>
  <c r="I25" i="7"/>
  <c r="H25" i="7"/>
  <c r="G25" i="7"/>
  <c r="F25" i="7"/>
  <c r="E25" i="7"/>
  <c r="D25" i="7"/>
  <c r="C25" i="7"/>
  <c r="B25" i="7"/>
  <c r="A25" i="7"/>
  <c r="M25" i="7" s="1"/>
  <c r="L24" i="7"/>
  <c r="K24" i="7"/>
  <c r="J24" i="7"/>
  <c r="I24" i="7"/>
  <c r="H24" i="7"/>
  <c r="G24" i="7"/>
  <c r="F24" i="7"/>
  <c r="E24" i="7"/>
  <c r="D24" i="7"/>
  <c r="C24" i="7"/>
  <c r="B24" i="7"/>
  <c r="A24" i="7"/>
  <c r="M24" i="7" s="1"/>
  <c r="L23" i="7"/>
  <c r="K23" i="7"/>
  <c r="J23" i="7"/>
  <c r="I23" i="7"/>
  <c r="H23" i="7"/>
  <c r="G23" i="7"/>
  <c r="F23" i="7"/>
  <c r="E23" i="7"/>
  <c r="D23" i="7"/>
  <c r="C23" i="7"/>
  <c r="B23" i="7"/>
  <c r="A23" i="7"/>
  <c r="M23" i="7" s="1"/>
  <c r="L22" i="7"/>
  <c r="K22" i="7"/>
  <c r="J22" i="7"/>
  <c r="I22" i="7"/>
  <c r="H22" i="7"/>
  <c r="G22" i="7"/>
  <c r="F22" i="7"/>
  <c r="E22" i="7"/>
  <c r="D22" i="7"/>
  <c r="C22" i="7"/>
  <c r="B22" i="7"/>
  <c r="A22" i="7"/>
  <c r="M22" i="7" s="1"/>
  <c r="L21" i="7"/>
  <c r="K21" i="7"/>
  <c r="J21" i="7"/>
  <c r="I21" i="7"/>
  <c r="H21" i="7"/>
  <c r="G21" i="7"/>
  <c r="F21" i="7"/>
  <c r="E21" i="7"/>
  <c r="D21" i="7"/>
  <c r="C21" i="7"/>
  <c r="B21" i="7"/>
  <c r="A21" i="7"/>
  <c r="M21" i="7" s="1"/>
  <c r="L20" i="7"/>
  <c r="K20" i="7"/>
  <c r="J20" i="7"/>
  <c r="I20" i="7"/>
  <c r="H20" i="7"/>
  <c r="G20" i="7"/>
  <c r="F20" i="7"/>
  <c r="E20" i="7"/>
  <c r="D20" i="7"/>
  <c r="C20" i="7"/>
  <c r="B20" i="7"/>
  <c r="A20" i="7"/>
  <c r="M20" i="7" s="1"/>
  <c r="L19" i="7"/>
  <c r="K19" i="7"/>
  <c r="J19" i="7"/>
  <c r="I19" i="7"/>
  <c r="H19" i="7"/>
  <c r="G19" i="7"/>
  <c r="F19" i="7"/>
  <c r="E19" i="7"/>
  <c r="D19" i="7"/>
  <c r="C19" i="7"/>
  <c r="B19" i="7"/>
  <c r="A19" i="7"/>
  <c r="M19" i="7" s="1"/>
  <c r="L18" i="7"/>
  <c r="K18" i="7"/>
  <c r="J18" i="7"/>
  <c r="I18" i="7"/>
  <c r="H18" i="7"/>
  <c r="G18" i="7"/>
  <c r="F18" i="7"/>
  <c r="E18" i="7"/>
  <c r="D18" i="7"/>
  <c r="C18" i="7"/>
  <c r="B18" i="7"/>
  <c r="A18" i="7"/>
  <c r="M18" i="7" s="1"/>
  <c r="L17" i="7"/>
  <c r="K17" i="7"/>
  <c r="J17" i="7"/>
  <c r="I17" i="7"/>
  <c r="H17" i="7"/>
  <c r="G17" i="7"/>
  <c r="F17" i="7"/>
  <c r="E17" i="7"/>
  <c r="D17" i="7"/>
  <c r="C17" i="7"/>
  <c r="B17" i="7"/>
  <c r="A17" i="7"/>
  <c r="M17" i="7" s="1"/>
  <c r="L16" i="7"/>
  <c r="K16" i="7"/>
  <c r="J16" i="7"/>
  <c r="I16" i="7"/>
  <c r="H16" i="7"/>
  <c r="G16" i="7"/>
  <c r="F16" i="7"/>
  <c r="E16" i="7"/>
  <c r="D16" i="7"/>
  <c r="C16" i="7"/>
  <c r="B16" i="7"/>
  <c r="A16" i="7"/>
  <c r="M16" i="7" s="1"/>
  <c r="L15" i="7"/>
  <c r="K15" i="7"/>
  <c r="J15" i="7"/>
  <c r="I15" i="7"/>
  <c r="H15" i="7"/>
  <c r="G15" i="7"/>
  <c r="F15" i="7"/>
  <c r="E15" i="7"/>
  <c r="D15" i="7"/>
  <c r="C15" i="7"/>
  <c r="B15" i="7"/>
  <c r="A15" i="7"/>
  <c r="M15" i="7" s="1"/>
  <c r="L14" i="7"/>
  <c r="K14" i="7"/>
  <c r="J14" i="7"/>
  <c r="I14" i="7"/>
  <c r="H14" i="7"/>
  <c r="G14" i="7"/>
  <c r="F14" i="7"/>
  <c r="E14" i="7"/>
  <c r="D14" i="7"/>
  <c r="C14" i="7"/>
  <c r="B14" i="7"/>
  <c r="A14" i="7"/>
  <c r="M14" i="7" s="1"/>
  <c r="L13" i="7"/>
  <c r="K13" i="7"/>
  <c r="J13" i="7"/>
  <c r="I13" i="7"/>
  <c r="H13" i="7"/>
  <c r="G13" i="7"/>
  <c r="F13" i="7"/>
  <c r="E13" i="7"/>
  <c r="D13" i="7"/>
  <c r="C13" i="7"/>
  <c r="B13" i="7"/>
  <c r="A13" i="7"/>
  <c r="M13" i="7" s="1"/>
  <c r="L12" i="7"/>
  <c r="K12" i="7"/>
  <c r="J12" i="7"/>
  <c r="I12" i="7"/>
  <c r="H12" i="7"/>
  <c r="G12" i="7"/>
  <c r="F12" i="7"/>
  <c r="E12" i="7"/>
  <c r="D12" i="7"/>
  <c r="C12" i="7"/>
  <c r="B12" i="7"/>
  <c r="A12" i="7"/>
  <c r="M12" i="7" s="1"/>
  <c r="L11" i="7"/>
  <c r="K11" i="7"/>
  <c r="J11" i="7"/>
  <c r="I11" i="7"/>
  <c r="H11" i="7"/>
  <c r="G11" i="7"/>
  <c r="F11" i="7"/>
  <c r="E11" i="7"/>
  <c r="D11" i="7"/>
  <c r="C11" i="7"/>
  <c r="B11" i="7"/>
  <c r="A11" i="7"/>
  <c r="M11" i="7" s="1"/>
  <c r="L10" i="7"/>
  <c r="K10" i="7"/>
  <c r="J10" i="7"/>
  <c r="I10" i="7"/>
  <c r="H10" i="7"/>
  <c r="G10" i="7"/>
  <c r="F10" i="7"/>
  <c r="E10" i="7"/>
  <c r="D10" i="7"/>
  <c r="C10" i="7"/>
  <c r="B10" i="7"/>
  <c r="A10" i="7"/>
  <c r="M10" i="7" s="1"/>
  <c r="L9" i="7"/>
  <c r="K9" i="7"/>
  <c r="J9" i="7"/>
  <c r="I9" i="7"/>
  <c r="H9" i="7"/>
  <c r="G9" i="7"/>
  <c r="F9" i="7"/>
  <c r="E9" i="7"/>
  <c r="D9" i="7"/>
  <c r="C9" i="7"/>
  <c r="B9" i="7"/>
  <c r="A9" i="7"/>
  <c r="M9" i="7" s="1"/>
  <c r="L8" i="7"/>
  <c r="K8" i="7"/>
  <c r="J8" i="7"/>
  <c r="I8" i="7"/>
  <c r="H8" i="7"/>
  <c r="G8" i="7"/>
  <c r="F8" i="7"/>
  <c r="E8" i="7"/>
  <c r="D8" i="7"/>
  <c r="C8" i="7"/>
  <c r="B8" i="7"/>
  <c r="A8" i="7"/>
  <c r="M8" i="7" s="1"/>
  <c r="K6" i="7"/>
  <c r="L6" i="7"/>
  <c r="K7" i="7"/>
  <c r="L7" i="7"/>
  <c r="K28" i="7"/>
  <c r="L28" i="7"/>
  <c r="K29" i="7"/>
  <c r="L29" i="7"/>
  <c r="B6" i="7"/>
  <c r="C6" i="7"/>
  <c r="D6" i="7"/>
  <c r="E6" i="7"/>
  <c r="F6" i="7"/>
  <c r="G6" i="7"/>
  <c r="H6" i="7"/>
  <c r="I6" i="7"/>
  <c r="J6" i="7"/>
  <c r="B7" i="7"/>
  <c r="C7" i="7"/>
  <c r="D7" i="7"/>
  <c r="E7" i="7"/>
  <c r="F7" i="7"/>
  <c r="G7" i="7"/>
  <c r="H7" i="7"/>
  <c r="I7" i="7"/>
  <c r="J7" i="7"/>
  <c r="B28" i="7"/>
  <c r="C28" i="7"/>
  <c r="D28" i="7"/>
  <c r="E28" i="7"/>
  <c r="F28" i="7"/>
  <c r="G28" i="7"/>
  <c r="H28" i="7"/>
  <c r="I28" i="7"/>
  <c r="J28" i="7"/>
  <c r="B29" i="7"/>
  <c r="C29" i="7"/>
  <c r="D29" i="7"/>
  <c r="E29" i="7"/>
  <c r="F29" i="7"/>
  <c r="G29" i="7"/>
  <c r="H29" i="7"/>
  <c r="I29" i="7"/>
  <c r="J29" i="7"/>
  <c r="B10" i="17"/>
  <c r="C10" i="17" s="1"/>
  <c r="B9" i="17"/>
  <c r="C9" i="17" s="1"/>
  <c r="B8" i="17"/>
  <c r="C8" i="17" s="1"/>
  <c r="B7" i="17"/>
  <c r="C7" i="17" s="1"/>
  <c r="B6" i="17"/>
  <c r="C6" i="17" s="1"/>
  <c r="B5" i="17"/>
  <c r="C5" i="17" s="1"/>
  <c r="B4" i="17"/>
  <c r="C4" i="17" s="1"/>
  <c r="K28" i="12"/>
  <c r="J25" i="12"/>
  <c r="I25" i="12"/>
  <c r="H25" i="12"/>
  <c r="G25" i="12"/>
  <c r="F25" i="12"/>
  <c r="E25" i="12"/>
  <c r="D25" i="12"/>
  <c r="C25" i="12"/>
  <c r="B25" i="12"/>
  <c r="A25" i="12"/>
  <c r="K25" i="12" s="1"/>
  <c r="J24" i="12"/>
  <c r="I24" i="12"/>
  <c r="H24" i="12"/>
  <c r="G24" i="12"/>
  <c r="F24" i="12"/>
  <c r="E24" i="12"/>
  <c r="D24" i="12"/>
  <c r="C24" i="12"/>
  <c r="B24" i="12"/>
  <c r="A24" i="12"/>
  <c r="K24" i="12" s="1"/>
  <c r="J23" i="12"/>
  <c r="I23" i="12"/>
  <c r="H23" i="12"/>
  <c r="G23" i="12"/>
  <c r="F23" i="12"/>
  <c r="E23" i="12"/>
  <c r="D23" i="12"/>
  <c r="C23" i="12"/>
  <c r="B23" i="12"/>
  <c r="A23" i="12"/>
  <c r="K23" i="12" s="1"/>
  <c r="J22" i="12"/>
  <c r="I22" i="12"/>
  <c r="H22" i="12"/>
  <c r="G22" i="12"/>
  <c r="F22" i="12"/>
  <c r="E22" i="12"/>
  <c r="D22" i="12"/>
  <c r="C22" i="12"/>
  <c r="B22" i="12"/>
  <c r="A22" i="12"/>
  <c r="K22" i="12" s="1"/>
  <c r="J21" i="12"/>
  <c r="I21" i="12"/>
  <c r="H21" i="12"/>
  <c r="G21" i="12"/>
  <c r="F21" i="12"/>
  <c r="E21" i="12"/>
  <c r="D21" i="12"/>
  <c r="C21" i="12"/>
  <c r="B21" i="12"/>
  <c r="A21" i="12"/>
  <c r="K21" i="12" s="1"/>
  <c r="J20" i="12"/>
  <c r="I20" i="12"/>
  <c r="H20" i="12"/>
  <c r="G20" i="12"/>
  <c r="F20" i="12"/>
  <c r="E20" i="12"/>
  <c r="D20" i="12"/>
  <c r="C20" i="12"/>
  <c r="B20" i="12"/>
  <c r="A20" i="12"/>
  <c r="K20" i="12" s="1"/>
  <c r="J19" i="12"/>
  <c r="I19" i="12"/>
  <c r="H19" i="12"/>
  <c r="G19" i="12"/>
  <c r="F19" i="12"/>
  <c r="E19" i="12"/>
  <c r="D19" i="12"/>
  <c r="C19" i="12"/>
  <c r="B19" i="12"/>
  <c r="A19" i="12"/>
  <c r="K19" i="12" s="1"/>
  <c r="J18" i="12"/>
  <c r="I18" i="12"/>
  <c r="H18" i="12"/>
  <c r="G18" i="12"/>
  <c r="F18" i="12"/>
  <c r="E18" i="12"/>
  <c r="D18" i="12"/>
  <c r="C18" i="12"/>
  <c r="B18" i="12"/>
  <c r="A18" i="12"/>
  <c r="K18" i="12" s="1"/>
  <c r="J17" i="12"/>
  <c r="I17" i="12"/>
  <c r="H17" i="12"/>
  <c r="G17" i="12"/>
  <c r="F17" i="12"/>
  <c r="E17" i="12"/>
  <c r="D17" i="12"/>
  <c r="C17" i="12"/>
  <c r="B17" i="12"/>
  <c r="A17" i="12"/>
  <c r="K17" i="12" s="1"/>
  <c r="J16" i="12"/>
  <c r="I16" i="12"/>
  <c r="H16" i="12"/>
  <c r="G16" i="12"/>
  <c r="F16" i="12"/>
  <c r="E16" i="12"/>
  <c r="D16" i="12"/>
  <c r="C16" i="12"/>
  <c r="B16" i="12"/>
  <c r="A16" i="12"/>
  <c r="K16" i="12" s="1"/>
  <c r="J15" i="12"/>
  <c r="I15" i="12"/>
  <c r="H15" i="12"/>
  <c r="G15" i="12"/>
  <c r="F15" i="12"/>
  <c r="E15" i="12"/>
  <c r="D15" i="12"/>
  <c r="C15" i="12"/>
  <c r="B15" i="12"/>
  <c r="A15" i="12"/>
  <c r="K15" i="12" s="1"/>
  <c r="J14" i="12"/>
  <c r="I14" i="12"/>
  <c r="H14" i="12"/>
  <c r="G14" i="12"/>
  <c r="F14" i="12"/>
  <c r="E14" i="12"/>
  <c r="D14" i="12"/>
  <c r="C14" i="12"/>
  <c r="B14" i="12"/>
  <c r="A14" i="12"/>
  <c r="K14" i="12" s="1"/>
  <c r="J13" i="12"/>
  <c r="I13" i="12"/>
  <c r="H13" i="12"/>
  <c r="G13" i="12"/>
  <c r="F13" i="12"/>
  <c r="E13" i="12"/>
  <c r="D13" i="12"/>
  <c r="C13" i="12"/>
  <c r="B13" i="12"/>
  <c r="A13" i="12"/>
  <c r="K13" i="12" s="1"/>
  <c r="J12" i="12"/>
  <c r="I12" i="12"/>
  <c r="H12" i="12"/>
  <c r="G12" i="12"/>
  <c r="F12" i="12"/>
  <c r="E12" i="12"/>
  <c r="D12" i="12"/>
  <c r="C12" i="12"/>
  <c r="B12" i="12"/>
  <c r="A12" i="12"/>
  <c r="K12" i="12" s="1"/>
  <c r="J11" i="12"/>
  <c r="I11" i="12"/>
  <c r="H11" i="12"/>
  <c r="G11" i="12"/>
  <c r="F11" i="12"/>
  <c r="E11" i="12"/>
  <c r="D11" i="12"/>
  <c r="C11" i="12"/>
  <c r="B11" i="12"/>
  <c r="A11" i="12"/>
  <c r="K11" i="12" s="1"/>
  <c r="J10" i="12"/>
  <c r="I10" i="12"/>
  <c r="H10" i="12"/>
  <c r="G10" i="12"/>
  <c r="F10" i="12"/>
  <c r="E10" i="12"/>
  <c r="D10" i="12"/>
  <c r="C10" i="12"/>
  <c r="B10" i="12"/>
  <c r="A10" i="12"/>
  <c r="K10" i="12" s="1"/>
  <c r="J9" i="12"/>
  <c r="I9" i="12"/>
  <c r="H9" i="12"/>
  <c r="G9" i="12"/>
  <c r="F9" i="12"/>
  <c r="E9" i="12"/>
  <c r="D9" i="12"/>
  <c r="C9" i="12"/>
  <c r="B9" i="12"/>
  <c r="A9" i="12"/>
  <c r="K9" i="12" s="1"/>
  <c r="J8" i="12"/>
  <c r="I8" i="12"/>
  <c r="H8" i="12"/>
  <c r="G8" i="12"/>
  <c r="F8" i="12"/>
  <c r="E8" i="12"/>
  <c r="D8" i="12"/>
  <c r="C8" i="12"/>
  <c r="B8" i="12"/>
  <c r="A8" i="12"/>
  <c r="K8" i="12" s="1"/>
  <c r="J7" i="12"/>
  <c r="I7" i="12"/>
  <c r="H7" i="12"/>
  <c r="G7" i="12"/>
  <c r="F7" i="12"/>
  <c r="E7" i="12"/>
  <c r="D7" i="12"/>
  <c r="C7" i="12"/>
  <c r="B7" i="12"/>
  <c r="A7" i="12"/>
  <c r="K7" i="12" s="1"/>
  <c r="J6" i="12"/>
  <c r="I6" i="12"/>
  <c r="H6" i="12"/>
  <c r="G6" i="12"/>
  <c r="F6" i="12"/>
  <c r="E6" i="12"/>
  <c r="D6" i="12"/>
  <c r="C6" i="12"/>
  <c r="B6" i="12"/>
  <c r="A6" i="12"/>
  <c r="K6" i="12" s="1"/>
  <c r="J5" i="12"/>
  <c r="I5" i="12"/>
  <c r="H5" i="12"/>
  <c r="G5" i="12"/>
  <c r="F5" i="12"/>
  <c r="E5" i="12"/>
  <c r="D5" i="12"/>
  <c r="C5" i="12"/>
  <c r="B5" i="12"/>
  <c r="A5" i="12"/>
  <c r="L30" i="11"/>
  <c r="K27" i="11"/>
  <c r="J27" i="11"/>
  <c r="I27" i="11"/>
  <c r="H27" i="11"/>
  <c r="G27" i="11"/>
  <c r="F27" i="11"/>
  <c r="E27" i="11"/>
  <c r="D27" i="11"/>
  <c r="C27" i="11"/>
  <c r="B27" i="11"/>
  <c r="A27" i="11"/>
  <c r="L27" i="11" s="1"/>
  <c r="K26" i="11"/>
  <c r="J26" i="11"/>
  <c r="I26" i="11"/>
  <c r="H26" i="11"/>
  <c r="G26" i="11"/>
  <c r="F26" i="11"/>
  <c r="E26" i="11"/>
  <c r="D26" i="11"/>
  <c r="C26" i="11"/>
  <c r="B26" i="11"/>
  <c r="A26" i="11"/>
  <c r="L26" i="11" s="1"/>
  <c r="K25" i="11"/>
  <c r="J25" i="11"/>
  <c r="I25" i="11"/>
  <c r="H25" i="11"/>
  <c r="G25" i="11"/>
  <c r="F25" i="11"/>
  <c r="E25" i="11"/>
  <c r="D25" i="11"/>
  <c r="C25" i="11"/>
  <c r="B25" i="11"/>
  <c r="A25" i="11"/>
  <c r="L25" i="11" s="1"/>
  <c r="K24" i="11"/>
  <c r="J24" i="11"/>
  <c r="I24" i="11"/>
  <c r="H24" i="11"/>
  <c r="G24" i="11"/>
  <c r="F24" i="11"/>
  <c r="E24" i="11"/>
  <c r="D24" i="11"/>
  <c r="C24" i="11"/>
  <c r="B24" i="11"/>
  <c r="A24" i="11"/>
  <c r="L24" i="11" s="1"/>
  <c r="K23" i="11"/>
  <c r="J23" i="11"/>
  <c r="I23" i="11"/>
  <c r="H23" i="11"/>
  <c r="G23" i="11"/>
  <c r="F23" i="11"/>
  <c r="E23" i="11"/>
  <c r="D23" i="11"/>
  <c r="C23" i="11"/>
  <c r="B23" i="11"/>
  <c r="A23" i="11"/>
  <c r="L23" i="11" s="1"/>
  <c r="K22" i="11"/>
  <c r="J22" i="11"/>
  <c r="I22" i="11"/>
  <c r="H22" i="11"/>
  <c r="G22" i="11"/>
  <c r="F22" i="11"/>
  <c r="E22" i="11"/>
  <c r="D22" i="11"/>
  <c r="C22" i="11"/>
  <c r="B22" i="11"/>
  <c r="A22" i="11"/>
  <c r="L22" i="11" s="1"/>
  <c r="K21" i="11"/>
  <c r="J21" i="11"/>
  <c r="I21" i="11"/>
  <c r="H21" i="11"/>
  <c r="G21" i="11"/>
  <c r="F21" i="11"/>
  <c r="E21" i="11"/>
  <c r="D21" i="11"/>
  <c r="C21" i="11"/>
  <c r="B21" i="11"/>
  <c r="A21" i="11"/>
  <c r="L21" i="11" s="1"/>
  <c r="K20" i="11"/>
  <c r="J20" i="11"/>
  <c r="I20" i="11"/>
  <c r="H20" i="11"/>
  <c r="G20" i="11"/>
  <c r="F20" i="11"/>
  <c r="E20" i="11"/>
  <c r="D20" i="11"/>
  <c r="C20" i="11"/>
  <c r="B20" i="11"/>
  <c r="A20" i="11"/>
  <c r="L20" i="11" s="1"/>
  <c r="K19" i="11"/>
  <c r="J19" i="11"/>
  <c r="I19" i="11"/>
  <c r="H19" i="11"/>
  <c r="G19" i="11"/>
  <c r="F19" i="11"/>
  <c r="E19" i="11"/>
  <c r="D19" i="11"/>
  <c r="C19" i="11"/>
  <c r="B19" i="11"/>
  <c r="A19" i="11"/>
  <c r="L19" i="11" s="1"/>
  <c r="K18" i="11"/>
  <c r="J18" i="11"/>
  <c r="I18" i="11"/>
  <c r="H18" i="11"/>
  <c r="G18" i="11"/>
  <c r="F18" i="11"/>
  <c r="E18" i="11"/>
  <c r="D18" i="11"/>
  <c r="C18" i="11"/>
  <c r="B18" i="11"/>
  <c r="A18" i="11"/>
  <c r="L18" i="11" s="1"/>
  <c r="K17" i="11"/>
  <c r="J17" i="11"/>
  <c r="I17" i="11"/>
  <c r="H17" i="11"/>
  <c r="G17" i="11"/>
  <c r="F17" i="11"/>
  <c r="E17" i="11"/>
  <c r="D17" i="11"/>
  <c r="C17" i="11"/>
  <c r="B17" i="11"/>
  <c r="A17" i="11"/>
  <c r="L17" i="11" s="1"/>
  <c r="K16" i="11"/>
  <c r="J16" i="11"/>
  <c r="I16" i="11"/>
  <c r="H16" i="11"/>
  <c r="G16" i="11"/>
  <c r="F16" i="11"/>
  <c r="E16" i="11"/>
  <c r="D16" i="11"/>
  <c r="C16" i="11"/>
  <c r="B16" i="11"/>
  <c r="A16" i="11"/>
  <c r="L16" i="11" s="1"/>
  <c r="K15" i="11"/>
  <c r="J15" i="11"/>
  <c r="I15" i="11"/>
  <c r="H15" i="11"/>
  <c r="G15" i="11"/>
  <c r="F15" i="11"/>
  <c r="E15" i="11"/>
  <c r="D15" i="11"/>
  <c r="C15" i="11"/>
  <c r="B15" i="11"/>
  <c r="A15" i="11"/>
  <c r="L15" i="11" s="1"/>
  <c r="K14" i="11"/>
  <c r="J14" i="11"/>
  <c r="I14" i="11"/>
  <c r="H14" i="11"/>
  <c r="G14" i="11"/>
  <c r="F14" i="11"/>
  <c r="E14" i="11"/>
  <c r="D14" i="11"/>
  <c r="C14" i="11"/>
  <c r="B14" i="11"/>
  <c r="A14" i="11"/>
  <c r="L14" i="11" s="1"/>
  <c r="K13" i="11"/>
  <c r="J13" i="11"/>
  <c r="I13" i="11"/>
  <c r="H13" i="11"/>
  <c r="G13" i="11"/>
  <c r="F13" i="11"/>
  <c r="E13" i="11"/>
  <c r="D13" i="11"/>
  <c r="C13" i="11"/>
  <c r="B13" i="11"/>
  <c r="A13" i="11"/>
  <c r="L13" i="11" s="1"/>
  <c r="K12" i="11"/>
  <c r="J12" i="11"/>
  <c r="I12" i="11"/>
  <c r="H12" i="11"/>
  <c r="G12" i="11"/>
  <c r="F12" i="11"/>
  <c r="E12" i="11"/>
  <c r="D12" i="11"/>
  <c r="C12" i="11"/>
  <c r="B12" i="11"/>
  <c r="A12" i="11"/>
  <c r="L12" i="11" s="1"/>
  <c r="K11" i="11"/>
  <c r="J11" i="11"/>
  <c r="I11" i="11"/>
  <c r="H11" i="11"/>
  <c r="G11" i="11"/>
  <c r="F11" i="11"/>
  <c r="E11" i="11"/>
  <c r="D11" i="11"/>
  <c r="C11" i="11"/>
  <c r="B11" i="11"/>
  <c r="A11" i="11"/>
  <c r="L11" i="11" s="1"/>
  <c r="K10" i="11"/>
  <c r="J10" i="11"/>
  <c r="I10" i="11"/>
  <c r="H10" i="11"/>
  <c r="G10" i="11"/>
  <c r="F10" i="11"/>
  <c r="E10" i="11"/>
  <c r="D10" i="11"/>
  <c r="C10" i="11"/>
  <c r="B10" i="11"/>
  <c r="A10" i="11"/>
  <c r="L10" i="11" s="1"/>
  <c r="K9" i="11"/>
  <c r="J9" i="11"/>
  <c r="I9" i="11"/>
  <c r="H9" i="11"/>
  <c r="G9" i="11"/>
  <c r="F9" i="11"/>
  <c r="E9" i="11"/>
  <c r="D9" i="11"/>
  <c r="C9" i="11"/>
  <c r="B9" i="11"/>
  <c r="A9" i="11"/>
  <c r="L9" i="11" s="1"/>
  <c r="K8" i="11"/>
  <c r="J8" i="11"/>
  <c r="I8" i="11"/>
  <c r="H8" i="11"/>
  <c r="G8" i="11"/>
  <c r="F8" i="11"/>
  <c r="E8" i="11"/>
  <c r="D8" i="11"/>
  <c r="C8" i="11"/>
  <c r="B8" i="11"/>
  <c r="A8" i="11"/>
  <c r="L8" i="11" s="1"/>
  <c r="K7" i="11"/>
  <c r="J7" i="11"/>
  <c r="I7" i="11"/>
  <c r="H7" i="11"/>
  <c r="G7" i="11"/>
  <c r="F7" i="11"/>
  <c r="E7" i="11"/>
  <c r="D7" i="11"/>
  <c r="C7" i="11"/>
  <c r="B7" i="11"/>
  <c r="A7" i="11"/>
  <c r="L7" i="11" s="1"/>
  <c r="K6" i="11"/>
  <c r="J6" i="11"/>
  <c r="I6" i="11"/>
  <c r="H6" i="11"/>
  <c r="G6" i="11"/>
  <c r="F6" i="11"/>
  <c r="E6" i="11"/>
  <c r="D6" i="11"/>
  <c r="C6" i="11"/>
  <c r="B6" i="11"/>
  <c r="A6" i="11"/>
  <c r="L6" i="11" s="1"/>
  <c r="K5" i="11"/>
  <c r="J5" i="11"/>
  <c r="I5" i="11"/>
  <c r="H5" i="11"/>
  <c r="G5" i="11"/>
  <c r="F5" i="11"/>
  <c r="E5" i="11"/>
  <c r="D5" i="11"/>
  <c r="C5" i="11"/>
  <c r="B5" i="11"/>
  <c r="A5" i="11"/>
  <c r="M32" i="9"/>
  <c r="L29" i="9"/>
  <c r="K29" i="9"/>
  <c r="J29" i="9"/>
  <c r="I29" i="9"/>
  <c r="H29" i="9"/>
  <c r="G29" i="9"/>
  <c r="F29" i="9"/>
  <c r="E29" i="9"/>
  <c r="D29" i="9"/>
  <c r="C29" i="9"/>
  <c r="B29" i="9"/>
  <c r="A29" i="9"/>
  <c r="M29" i="9" s="1"/>
  <c r="L28" i="9"/>
  <c r="K28" i="9"/>
  <c r="J28" i="9"/>
  <c r="I28" i="9"/>
  <c r="H28" i="9"/>
  <c r="G28" i="9"/>
  <c r="F28" i="9"/>
  <c r="E28" i="9"/>
  <c r="D28" i="9"/>
  <c r="C28" i="9"/>
  <c r="B28" i="9"/>
  <c r="A28" i="9"/>
  <c r="M28" i="9" s="1"/>
  <c r="L27" i="9"/>
  <c r="K27" i="9"/>
  <c r="J27" i="9"/>
  <c r="I27" i="9"/>
  <c r="H27" i="9"/>
  <c r="G27" i="9"/>
  <c r="F27" i="9"/>
  <c r="E27" i="9"/>
  <c r="D27" i="9"/>
  <c r="C27" i="9"/>
  <c r="B27" i="9"/>
  <c r="A27" i="9"/>
  <c r="M27" i="9" s="1"/>
  <c r="L26" i="9"/>
  <c r="K26" i="9"/>
  <c r="J26" i="9"/>
  <c r="I26" i="9"/>
  <c r="H26" i="9"/>
  <c r="G26" i="9"/>
  <c r="F26" i="9"/>
  <c r="E26" i="9"/>
  <c r="D26" i="9"/>
  <c r="C26" i="9"/>
  <c r="B26" i="9"/>
  <c r="A26" i="9"/>
  <c r="M26" i="9" s="1"/>
  <c r="L25" i="9"/>
  <c r="K25" i="9"/>
  <c r="J25" i="9"/>
  <c r="I25" i="9"/>
  <c r="H25" i="9"/>
  <c r="G25" i="9"/>
  <c r="F25" i="9"/>
  <c r="E25" i="9"/>
  <c r="D25" i="9"/>
  <c r="C25" i="9"/>
  <c r="B25" i="9"/>
  <c r="A25" i="9"/>
  <c r="M25" i="9" s="1"/>
  <c r="L24" i="9"/>
  <c r="K24" i="9"/>
  <c r="J24" i="9"/>
  <c r="I24" i="9"/>
  <c r="H24" i="9"/>
  <c r="G24" i="9"/>
  <c r="F24" i="9"/>
  <c r="E24" i="9"/>
  <c r="D24" i="9"/>
  <c r="C24" i="9"/>
  <c r="B24" i="9"/>
  <c r="A24" i="9"/>
  <c r="M24" i="9" s="1"/>
  <c r="L23" i="9"/>
  <c r="K23" i="9"/>
  <c r="J23" i="9"/>
  <c r="I23" i="9"/>
  <c r="H23" i="9"/>
  <c r="G23" i="9"/>
  <c r="F23" i="9"/>
  <c r="E23" i="9"/>
  <c r="D23" i="9"/>
  <c r="C23" i="9"/>
  <c r="B23" i="9"/>
  <c r="A23" i="9"/>
  <c r="M23" i="9" s="1"/>
  <c r="L22" i="9"/>
  <c r="K22" i="9"/>
  <c r="J22" i="9"/>
  <c r="I22" i="9"/>
  <c r="H22" i="9"/>
  <c r="G22" i="9"/>
  <c r="F22" i="9"/>
  <c r="E22" i="9"/>
  <c r="D22" i="9"/>
  <c r="C22" i="9"/>
  <c r="B22" i="9"/>
  <c r="A22" i="9"/>
  <c r="M22" i="9" s="1"/>
  <c r="L21" i="9"/>
  <c r="K21" i="9"/>
  <c r="J21" i="9"/>
  <c r="I21" i="9"/>
  <c r="H21" i="9"/>
  <c r="G21" i="9"/>
  <c r="F21" i="9"/>
  <c r="E21" i="9"/>
  <c r="D21" i="9"/>
  <c r="C21" i="9"/>
  <c r="B21" i="9"/>
  <c r="A21" i="9"/>
  <c r="M21" i="9" s="1"/>
  <c r="L20" i="9"/>
  <c r="K20" i="9"/>
  <c r="J20" i="9"/>
  <c r="I20" i="9"/>
  <c r="H20" i="9"/>
  <c r="G20" i="9"/>
  <c r="F20" i="9"/>
  <c r="E20" i="9"/>
  <c r="D20" i="9"/>
  <c r="C20" i="9"/>
  <c r="B20" i="9"/>
  <c r="A20" i="9"/>
  <c r="M20" i="9" s="1"/>
  <c r="L19" i="9"/>
  <c r="K19" i="9"/>
  <c r="J19" i="9"/>
  <c r="I19" i="9"/>
  <c r="H19" i="9"/>
  <c r="G19" i="9"/>
  <c r="F19" i="9"/>
  <c r="E19" i="9"/>
  <c r="D19" i="9"/>
  <c r="C19" i="9"/>
  <c r="B19" i="9"/>
  <c r="A19" i="9"/>
  <c r="M19" i="9" s="1"/>
  <c r="L18" i="9"/>
  <c r="K18" i="9"/>
  <c r="J18" i="9"/>
  <c r="I18" i="9"/>
  <c r="H18" i="9"/>
  <c r="G18" i="9"/>
  <c r="F18" i="9"/>
  <c r="E18" i="9"/>
  <c r="D18" i="9"/>
  <c r="C18" i="9"/>
  <c r="B18" i="9"/>
  <c r="A18" i="9"/>
  <c r="M18" i="9" s="1"/>
  <c r="L17" i="9"/>
  <c r="K17" i="9"/>
  <c r="J17" i="9"/>
  <c r="I17" i="9"/>
  <c r="H17" i="9"/>
  <c r="G17" i="9"/>
  <c r="F17" i="9"/>
  <c r="E17" i="9"/>
  <c r="D17" i="9"/>
  <c r="C17" i="9"/>
  <c r="B17" i="9"/>
  <c r="A17" i="9"/>
  <c r="M17" i="9" s="1"/>
  <c r="L16" i="9"/>
  <c r="K16" i="9"/>
  <c r="J16" i="9"/>
  <c r="I16" i="9"/>
  <c r="H16" i="9"/>
  <c r="G16" i="9"/>
  <c r="F16" i="9"/>
  <c r="E16" i="9"/>
  <c r="D16" i="9"/>
  <c r="C16" i="9"/>
  <c r="B16" i="9"/>
  <c r="A16" i="9"/>
  <c r="M16" i="9" s="1"/>
  <c r="L15" i="9"/>
  <c r="K15" i="9"/>
  <c r="J15" i="9"/>
  <c r="I15" i="9"/>
  <c r="H15" i="9"/>
  <c r="G15" i="9"/>
  <c r="F15" i="9"/>
  <c r="E15" i="9"/>
  <c r="D15" i="9"/>
  <c r="C15" i="9"/>
  <c r="B15" i="9"/>
  <c r="A15" i="9"/>
  <c r="M15" i="9" s="1"/>
  <c r="L14" i="9"/>
  <c r="K14" i="9"/>
  <c r="J14" i="9"/>
  <c r="I14" i="9"/>
  <c r="H14" i="9"/>
  <c r="G14" i="9"/>
  <c r="F14" i="9"/>
  <c r="E14" i="9"/>
  <c r="D14" i="9"/>
  <c r="C14" i="9"/>
  <c r="B14" i="9"/>
  <c r="A14" i="9"/>
  <c r="M14" i="9" s="1"/>
  <c r="L13" i="9"/>
  <c r="K13" i="9"/>
  <c r="J13" i="9"/>
  <c r="I13" i="9"/>
  <c r="H13" i="9"/>
  <c r="G13" i="9"/>
  <c r="F13" i="9"/>
  <c r="E13" i="9"/>
  <c r="D13" i="9"/>
  <c r="C13" i="9"/>
  <c r="B13" i="9"/>
  <c r="A13" i="9"/>
  <c r="M13" i="9" s="1"/>
  <c r="L12" i="9"/>
  <c r="K12" i="9"/>
  <c r="J12" i="9"/>
  <c r="I12" i="9"/>
  <c r="H12" i="9"/>
  <c r="G12" i="9"/>
  <c r="F12" i="9"/>
  <c r="E12" i="9"/>
  <c r="D12" i="9"/>
  <c r="C12" i="9"/>
  <c r="B12" i="9"/>
  <c r="A12" i="9"/>
  <c r="M12" i="9" s="1"/>
  <c r="L11" i="9"/>
  <c r="K11" i="9"/>
  <c r="J11" i="9"/>
  <c r="I11" i="9"/>
  <c r="H11" i="9"/>
  <c r="G11" i="9"/>
  <c r="F11" i="9"/>
  <c r="E11" i="9"/>
  <c r="D11" i="9"/>
  <c r="C11" i="9"/>
  <c r="B11" i="9"/>
  <c r="A11" i="9"/>
  <c r="M11" i="9" s="1"/>
  <c r="L10" i="9"/>
  <c r="K10" i="9"/>
  <c r="J10" i="9"/>
  <c r="I10" i="9"/>
  <c r="H10" i="9"/>
  <c r="G10" i="9"/>
  <c r="F10" i="9"/>
  <c r="E10" i="9"/>
  <c r="D10" i="9"/>
  <c r="C10" i="9"/>
  <c r="B10" i="9"/>
  <c r="A10" i="9"/>
  <c r="M10" i="9" s="1"/>
  <c r="L9" i="9"/>
  <c r="K9" i="9"/>
  <c r="J9" i="9"/>
  <c r="I9" i="9"/>
  <c r="H9" i="9"/>
  <c r="G9" i="9"/>
  <c r="F9" i="9"/>
  <c r="E9" i="9"/>
  <c r="D9" i="9"/>
  <c r="C9" i="9"/>
  <c r="B9" i="9"/>
  <c r="A9" i="9"/>
  <c r="M9" i="9" s="1"/>
  <c r="L8" i="9"/>
  <c r="K8" i="9"/>
  <c r="J8" i="9"/>
  <c r="I8" i="9"/>
  <c r="H8" i="9"/>
  <c r="G8" i="9"/>
  <c r="F8" i="9"/>
  <c r="E8" i="9"/>
  <c r="D8" i="9"/>
  <c r="C8" i="9"/>
  <c r="B8" i="9"/>
  <c r="A8" i="9"/>
  <c r="M8" i="9" s="1"/>
  <c r="L7" i="9"/>
  <c r="K7" i="9"/>
  <c r="J7" i="9"/>
  <c r="I7" i="9"/>
  <c r="H7" i="9"/>
  <c r="G7" i="9"/>
  <c r="F7" i="9"/>
  <c r="E7" i="9"/>
  <c r="D7" i="9"/>
  <c r="C7" i="9"/>
  <c r="B7" i="9"/>
  <c r="A7" i="9"/>
  <c r="M7" i="9" s="1"/>
  <c r="L6" i="9"/>
  <c r="K6" i="9"/>
  <c r="J6" i="9"/>
  <c r="I6" i="9"/>
  <c r="H6" i="9"/>
  <c r="G6" i="9"/>
  <c r="F6" i="9"/>
  <c r="E6" i="9"/>
  <c r="D6" i="9"/>
  <c r="C6" i="9"/>
  <c r="B6" i="9"/>
  <c r="A6" i="9"/>
  <c r="M6" i="9" s="1"/>
  <c r="L5" i="9"/>
  <c r="K5" i="9"/>
  <c r="J5" i="9"/>
  <c r="I5" i="9"/>
  <c r="H5" i="9"/>
  <c r="G5" i="9"/>
  <c r="F5" i="9"/>
  <c r="E5" i="9"/>
  <c r="D5" i="9"/>
  <c r="C5" i="9"/>
  <c r="B5" i="9"/>
  <c r="A5" i="9"/>
  <c r="M32" i="7"/>
  <c r="A29" i="7"/>
  <c r="A28" i="7"/>
  <c r="A7" i="7"/>
  <c r="A6" i="7"/>
  <c r="D29" i="16"/>
  <c r="N34" i="10"/>
  <c r="M31" i="10"/>
  <c r="L31" i="10"/>
  <c r="K31" i="10"/>
  <c r="J31" i="10"/>
  <c r="I31" i="10"/>
  <c r="H31" i="10"/>
  <c r="G31" i="10"/>
  <c r="F31" i="10"/>
  <c r="E31" i="10"/>
  <c r="D31" i="10"/>
  <c r="C31" i="10"/>
  <c r="B31" i="10"/>
  <c r="A31" i="10"/>
  <c r="M30" i="10"/>
  <c r="L30" i="10"/>
  <c r="K30" i="10"/>
  <c r="J30" i="10"/>
  <c r="I30" i="10"/>
  <c r="H30" i="10"/>
  <c r="G30" i="10"/>
  <c r="F30" i="10"/>
  <c r="E30" i="10"/>
  <c r="D30" i="10"/>
  <c r="C30" i="10"/>
  <c r="B30" i="10"/>
  <c r="A30" i="10"/>
  <c r="N30" i="10" s="1"/>
  <c r="M29" i="10"/>
  <c r="L29" i="10"/>
  <c r="K29" i="10"/>
  <c r="J29" i="10"/>
  <c r="I29" i="10"/>
  <c r="H29" i="10"/>
  <c r="G29" i="10"/>
  <c r="F29" i="10"/>
  <c r="E29" i="10"/>
  <c r="D29" i="10"/>
  <c r="C29" i="10"/>
  <c r="B29" i="10"/>
  <c r="A29" i="10"/>
  <c r="M28" i="10"/>
  <c r="L28" i="10"/>
  <c r="K28" i="10"/>
  <c r="J28" i="10"/>
  <c r="I28" i="10"/>
  <c r="H28" i="10"/>
  <c r="G28" i="10"/>
  <c r="F28" i="10"/>
  <c r="E28" i="10"/>
  <c r="D28" i="10"/>
  <c r="C28" i="10"/>
  <c r="B28" i="10"/>
  <c r="A28" i="10"/>
  <c r="N28" i="10" s="1"/>
  <c r="M27" i="10"/>
  <c r="L27" i="10"/>
  <c r="K27" i="10"/>
  <c r="J27" i="10"/>
  <c r="I27" i="10"/>
  <c r="H27" i="10"/>
  <c r="G27" i="10"/>
  <c r="F27" i="10"/>
  <c r="E27" i="10"/>
  <c r="D27" i="10"/>
  <c r="C27" i="10"/>
  <c r="B27" i="10"/>
  <c r="A27" i="10"/>
  <c r="M26" i="10"/>
  <c r="L26" i="10"/>
  <c r="K26" i="10"/>
  <c r="J26" i="10"/>
  <c r="I26" i="10"/>
  <c r="H26" i="10"/>
  <c r="G26" i="10"/>
  <c r="F26" i="10"/>
  <c r="E26" i="10"/>
  <c r="D26" i="10"/>
  <c r="C26" i="10"/>
  <c r="B26" i="10"/>
  <c r="A26" i="10"/>
  <c r="N26" i="10" s="1"/>
  <c r="M25" i="10"/>
  <c r="L25" i="10"/>
  <c r="K25" i="10"/>
  <c r="J25" i="10"/>
  <c r="I25" i="10"/>
  <c r="H25" i="10"/>
  <c r="G25" i="10"/>
  <c r="F25" i="10"/>
  <c r="E25" i="10"/>
  <c r="D25" i="10"/>
  <c r="C25" i="10"/>
  <c r="B25" i="10"/>
  <c r="A25" i="10"/>
  <c r="M24" i="10"/>
  <c r="L24" i="10"/>
  <c r="K24" i="10"/>
  <c r="J24" i="10"/>
  <c r="I24" i="10"/>
  <c r="H24" i="10"/>
  <c r="G24" i="10"/>
  <c r="F24" i="10"/>
  <c r="E24" i="10"/>
  <c r="D24" i="10"/>
  <c r="C24" i="10"/>
  <c r="B24" i="10"/>
  <c r="A24" i="10"/>
  <c r="N24" i="10" s="1"/>
  <c r="M23" i="10"/>
  <c r="L23" i="10"/>
  <c r="K23" i="10"/>
  <c r="J23" i="10"/>
  <c r="I23" i="10"/>
  <c r="H23" i="10"/>
  <c r="G23" i="10"/>
  <c r="F23" i="10"/>
  <c r="E23" i="10"/>
  <c r="D23" i="10"/>
  <c r="C23" i="10"/>
  <c r="B23" i="10"/>
  <c r="A23" i="10"/>
  <c r="M22" i="10"/>
  <c r="L22" i="10"/>
  <c r="K22" i="10"/>
  <c r="J22" i="10"/>
  <c r="I22" i="10"/>
  <c r="H22" i="10"/>
  <c r="G22" i="10"/>
  <c r="F22" i="10"/>
  <c r="E22" i="10"/>
  <c r="D22" i="10"/>
  <c r="C22" i="10"/>
  <c r="B22" i="10"/>
  <c r="A22" i="10"/>
  <c r="N22" i="10" s="1"/>
  <c r="M21" i="10"/>
  <c r="L21" i="10"/>
  <c r="K21" i="10"/>
  <c r="J21" i="10"/>
  <c r="I21" i="10"/>
  <c r="H21" i="10"/>
  <c r="G21" i="10"/>
  <c r="F21" i="10"/>
  <c r="E21" i="10"/>
  <c r="D21" i="10"/>
  <c r="C21" i="10"/>
  <c r="B21" i="10"/>
  <c r="A21" i="10"/>
  <c r="M20" i="10"/>
  <c r="L20" i="10"/>
  <c r="K20" i="10"/>
  <c r="J20" i="10"/>
  <c r="I20" i="10"/>
  <c r="H20" i="10"/>
  <c r="G20" i="10"/>
  <c r="F20" i="10"/>
  <c r="E20" i="10"/>
  <c r="D20" i="10"/>
  <c r="C20" i="10"/>
  <c r="B20" i="10"/>
  <c r="A20" i="10"/>
  <c r="N20" i="10" s="1"/>
  <c r="M19" i="10"/>
  <c r="L19" i="10"/>
  <c r="K19" i="10"/>
  <c r="J19" i="10"/>
  <c r="I19" i="10"/>
  <c r="H19" i="10"/>
  <c r="G19" i="10"/>
  <c r="F19" i="10"/>
  <c r="E19" i="10"/>
  <c r="D19" i="10"/>
  <c r="C19" i="10"/>
  <c r="B19" i="10"/>
  <c r="A19" i="10"/>
  <c r="M18" i="10"/>
  <c r="L18" i="10"/>
  <c r="K18" i="10"/>
  <c r="J18" i="10"/>
  <c r="I18" i="10"/>
  <c r="H18" i="10"/>
  <c r="G18" i="10"/>
  <c r="F18" i="10"/>
  <c r="E18" i="10"/>
  <c r="D18" i="10"/>
  <c r="C18" i="10"/>
  <c r="B18" i="10"/>
  <c r="A18" i="10"/>
  <c r="N18" i="10" s="1"/>
  <c r="M17" i="10"/>
  <c r="L17" i="10"/>
  <c r="K17" i="10"/>
  <c r="J17" i="10"/>
  <c r="I17" i="10"/>
  <c r="H17" i="10"/>
  <c r="G17" i="10"/>
  <c r="F17" i="10"/>
  <c r="E17" i="10"/>
  <c r="D17" i="10"/>
  <c r="C17" i="10"/>
  <c r="B17" i="10"/>
  <c r="A17" i="10"/>
  <c r="M16" i="10"/>
  <c r="L16" i="10"/>
  <c r="K16" i="10"/>
  <c r="J16" i="10"/>
  <c r="I16" i="10"/>
  <c r="H16" i="10"/>
  <c r="G16" i="10"/>
  <c r="F16" i="10"/>
  <c r="E16" i="10"/>
  <c r="D16" i="10"/>
  <c r="C16" i="10"/>
  <c r="B16" i="10"/>
  <c r="A16" i="10"/>
  <c r="N16" i="10" s="1"/>
  <c r="M15" i="10"/>
  <c r="L15" i="10"/>
  <c r="K15" i="10"/>
  <c r="J15" i="10"/>
  <c r="I15" i="10"/>
  <c r="H15" i="10"/>
  <c r="G15" i="10"/>
  <c r="F15" i="10"/>
  <c r="E15" i="10"/>
  <c r="D15" i="10"/>
  <c r="C15" i="10"/>
  <c r="B15" i="10"/>
  <c r="A15" i="10"/>
  <c r="M14" i="10"/>
  <c r="L14" i="10"/>
  <c r="K14" i="10"/>
  <c r="J14" i="10"/>
  <c r="I14" i="10"/>
  <c r="H14" i="10"/>
  <c r="G14" i="10"/>
  <c r="F14" i="10"/>
  <c r="E14" i="10"/>
  <c r="D14" i="10"/>
  <c r="C14" i="10"/>
  <c r="B14" i="10"/>
  <c r="A14" i="10"/>
  <c r="N14" i="10" s="1"/>
  <c r="M13" i="10"/>
  <c r="L13" i="10"/>
  <c r="K13" i="10"/>
  <c r="J13" i="10"/>
  <c r="I13" i="10"/>
  <c r="H13" i="10"/>
  <c r="G13" i="10"/>
  <c r="F13" i="10"/>
  <c r="E13" i="10"/>
  <c r="D13" i="10"/>
  <c r="C13" i="10"/>
  <c r="B13" i="10"/>
  <c r="A13" i="10"/>
  <c r="M12" i="10"/>
  <c r="L12" i="10"/>
  <c r="K12" i="10"/>
  <c r="J12" i="10"/>
  <c r="I12" i="10"/>
  <c r="H12" i="10"/>
  <c r="G12" i="10"/>
  <c r="F12" i="10"/>
  <c r="E12" i="10"/>
  <c r="D12" i="10"/>
  <c r="C12" i="10"/>
  <c r="B12" i="10"/>
  <c r="A12" i="10"/>
  <c r="N12" i="10" s="1"/>
  <c r="M11" i="10"/>
  <c r="L11" i="10"/>
  <c r="K11" i="10"/>
  <c r="J11" i="10"/>
  <c r="I11" i="10"/>
  <c r="H11" i="10"/>
  <c r="G11" i="10"/>
  <c r="F11" i="10"/>
  <c r="E11" i="10"/>
  <c r="D11" i="10"/>
  <c r="C11" i="10"/>
  <c r="B11" i="10"/>
  <c r="A11" i="10"/>
  <c r="M10" i="10"/>
  <c r="L10" i="10"/>
  <c r="K10" i="10"/>
  <c r="J10" i="10"/>
  <c r="I10" i="10"/>
  <c r="H10" i="10"/>
  <c r="G10" i="10"/>
  <c r="F10" i="10"/>
  <c r="E10" i="10"/>
  <c r="D10" i="10"/>
  <c r="C10" i="10"/>
  <c r="B10" i="10"/>
  <c r="A10" i="10"/>
  <c r="N10" i="10" s="1"/>
  <c r="M9" i="10"/>
  <c r="L9" i="10"/>
  <c r="K9" i="10"/>
  <c r="J9" i="10"/>
  <c r="I9" i="10"/>
  <c r="H9" i="10"/>
  <c r="G9" i="10"/>
  <c r="F9" i="10"/>
  <c r="E9" i="10"/>
  <c r="D9" i="10"/>
  <c r="C9" i="10"/>
  <c r="B9" i="10"/>
  <c r="A9" i="10"/>
  <c r="M8" i="10"/>
  <c r="L8" i="10"/>
  <c r="K8" i="10"/>
  <c r="J8" i="10"/>
  <c r="I8" i="10"/>
  <c r="H8" i="10"/>
  <c r="G8" i="10"/>
  <c r="F8" i="10"/>
  <c r="E8" i="10"/>
  <c r="D8" i="10"/>
  <c r="C8" i="10"/>
  <c r="B8" i="10"/>
  <c r="A8" i="10"/>
  <c r="N8" i="10" s="1"/>
  <c r="M7" i="10"/>
  <c r="L7" i="10"/>
  <c r="K7" i="10"/>
  <c r="J7" i="10"/>
  <c r="I7" i="10"/>
  <c r="H7" i="10"/>
  <c r="G7" i="10"/>
  <c r="F7" i="10"/>
  <c r="E7" i="10"/>
  <c r="D7" i="10"/>
  <c r="C7" i="10"/>
  <c r="B7" i="10"/>
  <c r="A7" i="10"/>
  <c r="M6" i="10"/>
  <c r="M5" i="10" s="1"/>
  <c r="L6" i="10"/>
  <c r="K6" i="10"/>
  <c r="K5" i="10" s="1"/>
  <c r="J6" i="10"/>
  <c r="I6" i="10"/>
  <c r="I5" i="10" s="1"/>
  <c r="H6" i="10"/>
  <c r="G6" i="10"/>
  <c r="G5" i="10" s="1"/>
  <c r="F6" i="10"/>
  <c r="E6" i="10"/>
  <c r="E5" i="10" s="1"/>
  <c r="D6" i="10"/>
  <c r="C6" i="10"/>
  <c r="C5" i="10" s="1"/>
  <c r="B6" i="10"/>
  <c r="A6" i="10"/>
  <c r="N6" i="10" s="1"/>
  <c r="L5" i="10"/>
  <c r="J5" i="10"/>
  <c r="H5" i="10"/>
  <c r="F5" i="10"/>
  <c r="D5" i="10"/>
  <c r="B5" i="10"/>
  <c r="L5" i="7" l="1"/>
  <c r="K5" i="7"/>
  <c r="I5" i="7"/>
  <c r="G5" i="7"/>
  <c r="E5" i="7"/>
  <c r="C5" i="7"/>
  <c r="J5" i="7"/>
  <c r="H5" i="7"/>
  <c r="F5" i="7"/>
  <c r="D5" i="7"/>
  <c r="B5" i="7"/>
  <c r="M6" i="7"/>
  <c r="M28" i="7"/>
  <c r="A5" i="7"/>
  <c r="M7" i="7"/>
  <c r="M29" i="7"/>
  <c r="A5" i="10"/>
  <c r="N7" i="10"/>
  <c r="N9" i="10"/>
  <c r="N11" i="10"/>
  <c r="N13" i="10"/>
  <c r="N15" i="10"/>
  <c r="N17" i="10"/>
  <c r="N19" i="10"/>
  <c r="N21" i="10"/>
  <c r="N23" i="10"/>
  <c r="N25" i="10"/>
  <c r="N27" i="10"/>
  <c r="N29" i="10"/>
  <c r="N31" i="10"/>
</calcChain>
</file>

<file path=xl/sharedStrings.xml><?xml version="1.0" encoding="utf-8"?>
<sst xmlns="http://schemas.openxmlformats.org/spreadsheetml/2006/main" count="234" uniqueCount="73">
  <si>
    <t>Maximise</t>
  </si>
  <si>
    <t>Cycles</t>
  </si>
  <si>
    <t>Error</t>
  </si>
  <si>
    <t>B</t>
  </si>
  <si>
    <t>// Variables (columns)</t>
  </si>
  <si>
    <t>// Constraints (rows)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</si>
  <si>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</si>
  <si>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</si>
  <si>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</si>
  <si>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</si>
  <si>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</si>
  <si>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</si>
  <si>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</si>
  <si>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</si>
  <si>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</si>
  <si>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</si>
  <si>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</si>
  <si>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</si>
  <si>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Name:</t>
  </si>
  <si>
    <t>// Hilbert LP Problem</t>
  </si>
  <si>
    <t>X13</t>
  </si>
  <si>
    <t>No Solution</t>
  </si>
  <si>
    <t>Model Name</t>
  </si>
  <si>
    <t>Variables (n)</t>
  </si>
  <si>
    <t>Constraints (m)</t>
  </si>
  <si>
    <t>Subject to:  T(j,i) &lt;= B(j)</t>
  </si>
  <si>
    <t xml:space="preserve">                  X(i)   &gt;= 0</t>
  </si>
  <si>
    <t>Notes:</t>
  </si>
  <si>
    <t>Subject to:</t>
  </si>
  <si>
    <t>X1+X2+X3&lt;=3</t>
  </si>
  <si>
    <t>X1+4*X2+7*X3&lt;=9</t>
  </si>
  <si>
    <t>X1,X2,X3&gt;=0</t>
  </si>
  <si>
    <t>2*X1+3*X2+X3</t>
  </si>
  <si>
    <t>Maximise:</t>
  </si>
  <si>
    <t>// Example 1</t>
  </si>
  <si>
    <t>Example: 1</t>
  </si>
  <si>
    <t>&lt;&lt;&lt; Solution</t>
  </si>
  <si>
    <t>Example: 2</t>
  </si>
  <si>
    <t>X1,X2&gt;=0</t>
  </si>
  <si>
    <t>Minimise:</t>
  </si>
  <si>
    <t>// Example 2</t>
  </si>
  <si>
    <t>2*X1+3*X2</t>
  </si>
  <si>
    <t>X2&gt;=2</t>
  </si>
  <si>
    <t>4*X1+3*X2&gt;=12</t>
  </si>
  <si>
    <t>X1+2*X2&lt;=8</t>
  </si>
  <si>
    <t>Minimise</t>
  </si>
  <si>
    <t>&lt;&lt;&lt; Negate</t>
  </si>
  <si>
    <t>To minimise, negate the objective constants</t>
  </si>
  <si>
    <t>For "&gt;=", negate the row constants</t>
  </si>
  <si>
    <t>For "=", use two rows, one "&lt;=" and the other "&gt;=" (i.e. negated)</t>
  </si>
  <si>
    <t>Size (n)</t>
  </si>
  <si>
    <t>Decimal places</t>
  </si>
  <si>
    <t>a(i,j)=1/(i+j-1) for i=1 to n, j=1 to n</t>
  </si>
  <si>
    <t>3/2*X1</t>
  </si>
  <si>
    <t>5/6*X2</t>
  </si>
  <si>
    <t>1*X1</t>
  </si>
  <si>
    <t>1/2*X1</t>
  </si>
  <si>
    <t>1/2*X2</t>
  </si>
  <si>
    <t>1/3*X2</t>
  </si>
  <si>
    <t>=3/2</t>
  </si>
  <si>
    <t>=5/6</t>
  </si>
  <si>
    <t>Hilbert LP Problem Results:</t>
  </si>
  <si>
    <t>&gt;=7</t>
  </si>
  <si>
    <t>Syslo, Deo &amp; Kowalik</t>
  </si>
  <si>
    <t xml:space="preserve">c(i)=sum(1/(i+j-1)) for j=1 to n </t>
  </si>
  <si>
    <t>b(j)=sum(1/(i+j-1)) for i=1 to n</t>
  </si>
  <si>
    <t>Simplex Method:</t>
  </si>
  <si>
    <t>Maximise:   R(i)</t>
  </si>
  <si>
    <t>Formulation 1:</t>
  </si>
  <si>
    <t>Formulation 2:</t>
  </si>
  <si>
    <t>Hilbert Matrix LP Problem:</t>
  </si>
  <si>
    <t>For example where n=2:</t>
  </si>
  <si>
    <t>Which is the formulated as: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</si>
</sst>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_(* #,##0.000000000_);_(* \(#,##0.000000000\);_(* &quot;-&quot;??_);_(@_)"/>
    <numFmt numFmtId="166" formatCode="0.000000%"/>
    <numFmt numFmtId="167" formatCode="0.00000000%"/>
    <numFmt numFmtId="168" formatCode="0.0"/>
  </numFmts>
  <fonts count="5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0">
    <xf numFmtId="0" fontId="0" fillId="0" borderId="0" xfId="0"/>
    <xf numFmtId="4" fontId="0" fillId="0" borderId="0" xfId="0" applyNumberFormat="1"/>
    <xf numFmtId="4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65" fontId="0" fillId="0" borderId="0" xfId="1" applyNumberFormat="1" applyFont="1"/>
    <xf numFmtId="4" fontId="1" fillId="0" borderId="0" xfId="0" applyNumberFormat="1" applyFont="1"/>
    <xf numFmtId="165" fontId="2" fillId="0" borderId="0" xfId="1" applyNumberFormat="1" applyFont="1"/>
    <xf numFmtId="4" fontId="2" fillId="0" borderId="0" xfId="0" applyNumberFormat="1" applyFont="1" applyAlignment="1">
      <alignment horizontal="center"/>
    </xf>
    <xf numFmtId="4" fontId="2" fillId="0" borderId="0" xfId="0" applyNumberFormat="1" applyFont="1"/>
    <xf numFmtId="3" fontId="2" fillId="0" borderId="0" xfId="0" applyNumberFormat="1" applyFont="1"/>
    <xf numFmtId="4" fontId="1" fillId="0" borderId="0" xfId="0" applyNumberFormat="1" applyFont="1" applyAlignment="1">
      <alignment horizontal="center"/>
    </xf>
    <xf numFmtId="167" fontId="2" fillId="0" borderId="0" xfId="2" applyNumberFormat="1" applyFont="1"/>
    <xf numFmtId="3" fontId="2" fillId="0" borderId="0" xfId="0" applyNumberFormat="1" applyFont="1" applyAlignment="1">
      <alignment horizontal="center"/>
    </xf>
    <xf numFmtId="165" fontId="2" fillId="0" borderId="0" xfId="0" applyNumberFormat="1" applyFont="1"/>
    <xf numFmtId="167" fontId="2" fillId="0" borderId="0" xfId="0" applyNumberFormat="1" applyFont="1"/>
    <xf numFmtId="4" fontId="1" fillId="0" borderId="0" xfId="1" applyNumberFormat="1" applyFont="1"/>
    <xf numFmtId="165" fontId="1" fillId="0" borderId="0" xfId="1" applyNumberFormat="1" applyFont="1"/>
    <xf numFmtId="3" fontId="1" fillId="0" borderId="0" xfId="0" applyNumberFormat="1" applyFont="1" applyAlignment="1">
      <alignment horizontal="center"/>
    </xf>
    <xf numFmtId="165" fontId="1" fillId="0" borderId="0" xfId="0" applyNumberFormat="1" applyFont="1"/>
    <xf numFmtId="165" fontId="1" fillId="0" borderId="0" xfId="2" applyNumberFormat="1" applyFont="1"/>
    <xf numFmtId="4" fontId="1" fillId="0" borderId="0" xfId="1" applyNumberFormat="1" applyFont="1" applyAlignment="1">
      <alignment horizontal="center"/>
    </xf>
    <xf numFmtId="3" fontId="1" fillId="0" borderId="0" xfId="1" applyNumberFormat="1" applyFont="1" applyAlignment="1">
      <alignment horizontal="center"/>
    </xf>
    <xf numFmtId="4" fontId="1" fillId="0" borderId="0" xfId="0" applyNumberFormat="1" applyFont="1" applyAlignment="1">
      <alignment horizontal="left"/>
    </xf>
    <xf numFmtId="0" fontId="1" fillId="0" borderId="0" xfId="0" applyFont="1" applyAlignment="1">
      <alignment horizontal="left" indent="1"/>
    </xf>
    <xf numFmtId="0" fontId="1" fillId="0" borderId="0" xfId="0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" fontId="0" fillId="0" borderId="0" xfId="1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" fontId="2" fillId="0" borderId="0" xfId="1" applyNumberFormat="1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/>
    <xf numFmtId="0" fontId="1" fillId="0" borderId="0" xfId="0" quotePrefix="1" applyFont="1" applyAlignment="1">
      <alignment horizontal="left" indent="1"/>
    </xf>
    <xf numFmtId="168" fontId="2" fillId="0" borderId="0" xfId="1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/>
    <xf numFmtId="16" fontId="1" fillId="0" borderId="0" xfId="0" quotePrefix="1" applyNumberFormat="1" applyFont="1" applyAlignment="1">
      <alignment horizontal="center"/>
    </xf>
    <xf numFmtId="0" fontId="1" fillId="0" borderId="0" xfId="0" quotePrefix="1" applyFont="1"/>
    <xf numFmtId="0" fontId="1" fillId="0" borderId="0" xfId="0" quotePrefix="1" applyFont="1" applyAlignment="1">
      <alignment horizontal="center"/>
    </xf>
    <xf numFmtId="0" fontId="1" fillId="0" borderId="0" xfId="0" applyFont="1" applyAlignment="1"/>
    <xf numFmtId="0" fontId="2" fillId="0" borderId="0" xfId="0" applyFont="1" applyAlignment="1"/>
    <xf numFmtId="0" fontId="2" fillId="0" borderId="0" xfId="0" applyFont="1" applyAlignment="1">
      <alignment horizontal="center"/>
    </xf>
    <xf numFmtId="166" fontId="0" fillId="0" borderId="0" xfId="2" applyNumberFormat="1" applyFont="1" applyAlignment="1">
      <alignment horizontal="right"/>
    </xf>
    <xf numFmtId="16" fontId="1" fillId="0" borderId="0" xfId="0" quotePrefix="1" applyNumberFormat="1" applyFont="1" applyAlignment="1">
      <alignment horizontal="left" indent="2"/>
    </xf>
    <xf numFmtId="4" fontId="0" fillId="0" borderId="0" xfId="0" applyNumberFormat="1" applyAlignment="1">
      <alignment horizontal="left" indent="1"/>
    </xf>
    <xf numFmtId="0" fontId="2" fillId="0" borderId="0" xfId="0" applyFont="1" applyAlignment="1">
      <alignment horizontal="left"/>
    </xf>
    <xf numFmtId="165" fontId="0" fillId="0" borderId="0" xfId="1" applyNumberFormat="1" applyFont="1" applyAlignment="1">
      <alignment horizontal="center"/>
    </xf>
    <xf numFmtId="165" fontId="2" fillId="0" borderId="0" xfId="1" applyNumberFormat="1" applyFont="1" applyAlignment="1">
      <alignment horizontal="center"/>
    </xf>
    <xf numFmtId="167" fontId="2" fillId="0" borderId="0" xfId="2" applyNumberFormat="1" applyFont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209550</xdr:colOff>
          <xdr:row>1</xdr:row>
          <xdr:rowOff>85725</xdr:rowOff>
        </xdr:from>
        <xdr:to>
          <xdr:col>16</xdr:col>
          <xdr:colOff>295275</xdr:colOff>
          <xdr:row>3</xdr:row>
          <xdr:rowOff>152400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Solve SX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66675</xdr:rowOff>
        </xdr:from>
        <xdr:to>
          <xdr:col>6</xdr:col>
          <xdr:colOff>190500</xdr:colOff>
          <xdr:row>2</xdr:row>
          <xdr:rowOff>133350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Solve SX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66675</xdr:rowOff>
        </xdr:from>
        <xdr:to>
          <xdr:col>6</xdr:col>
          <xdr:colOff>190500</xdr:colOff>
          <xdr:row>2</xdr:row>
          <xdr:rowOff>133350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Solve SX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66675</xdr:rowOff>
        </xdr:from>
        <xdr:to>
          <xdr:col>6</xdr:col>
          <xdr:colOff>190500</xdr:colOff>
          <xdr:row>2</xdr:row>
          <xdr:rowOff>133350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Solve SX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86"/>
  <sheetViews>
    <sheetView tabSelected="1" workbookViewId="0">
      <selection activeCell="C9" sqref="C9"/>
    </sheetView>
  </sheetViews>
  <sheetFormatPr defaultRowHeight="12.75" x14ac:dyDescent="0.2"/>
  <cols>
    <col min="1" max="4" width="14.42578125" customWidth="1"/>
    <col min="5" max="6" width="12.5703125" bestFit="1" customWidth="1"/>
  </cols>
  <sheetData>
    <row r="1" spans="1:4" x14ac:dyDescent="0.2">
      <c r="A1" s="36" t="s">
        <v>66</v>
      </c>
    </row>
    <row r="2" spans="1:4" x14ac:dyDescent="0.2">
      <c r="A2" s="23" t="s">
        <v>22</v>
      </c>
    </row>
    <row r="3" spans="1:4" x14ac:dyDescent="0.2">
      <c r="A3" s="23" t="s">
        <v>23</v>
      </c>
    </row>
    <row r="4" spans="1:4" x14ac:dyDescent="0.2">
      <c r="A4" s="23" t="s">
        <v>24</v>
      </c>
    </row>
    <row r="5" spans="1:4" x14ac:dyDescent="0.2">
      <c r="A5" s="23" t="s">
        <v>67</v>
      </c>
    </row>
    <row r="6" spans="1:4" x14ac:dyDescent="0.2">
      <c r="A6" s="23" t="s">
        <v>25</v>
      </c>
    </row>
    <row r="7" spans="1:4" x14ac:dyDescent="0.2">
      <c r="A7" s="23" t="s">
        <v>26</v>
      </c>
    </row>
    <row r="8" spans="1:4" x14ac:dyDescent="0.2">
      <c r="A8" s="36" t="s">
        <v>27</v>
      </c>
    </row>
    <row r="9" spans="1:4" x14ac:dyDescent="0.2">
      <c r="A9" s="23" t="s">
        <v>47</v>
      </c>
    </row>
    <row r="10" spans="1:4" x14ac:dyDescent="0.2">
      <c r="A10" s="23" t="s">
        <v>48</v>
      </c>
    </row>
    <row r="11" spans="1:4" x14ac:dyDescent="0.2">
      <c r="A11" s="23" t="s">
        <v>49</v>
      </c>
    </row>
    <row r="13" spans="1:4" x14ac:dyDescent="0.2">
      <c r="A13" s="46" t="s">
        <v>35</v>
      </c>
    </row>
    <row r="14" spans="1:4" x14ac:dyDescent="0.2">
      <c r="A14" s="46"/>
    </row>
    <row r="15" spans="1:4" x14ac:dyDescent="0.2">
      <c r="A15" s="26" t="s">
        <v>33</v>
      </c>
    </row>
    <row r="16" spans="1:4" x14ac:dyDescent="0.2">
      <c r="A16" s="27" t="s">
        <v>32</v>
      </c>
      <c r="B16" s="25"/>
      <c r="C16" s="25"/>
      <c r="D16" s="25"/>
    </row>
    <row r="17" spans="1:6" x14ac:dyDescent="0.2">
      <c r="A17" s="26" t="s">
        <v>28</v>
      </c>
      <c r="B17" s="25"/>
      <c r="C17" s="25"/>
      <c r="D17" s="25"/>
    </row>
    <row r="18" spans="1:6" x14ac:dyDescent="0.2">
      <c r="A18" s="27" t="s">
        <v>29</v>
      </c>
      <c r="B18" s="25"/>
      <c r="C18" s="25"/>
      <c r="D18" s="25"/>
    </row>
    <row r="19" spans="1:6" x14ac:dyDescent="0.2">
      <c r="A19" s="27" t="s">
        <v>30</v>
      </c>
      <c r="B19" s="25"/>
      <c r="C19" s="25"/>
      <c r="E19" s="25"/>
    </row>
    <row r="20" spans="1:6" x14ac:dyDescent="0.2">
      <c r="A20" s="27" t="s">
        <v>31</v>
      </c>
      <c r="B20" s="25"/>
      <c r="C20" s="25"/>
      <c r="E20" s="25"/>
    </row>
    <row r="21" spans="1:6" x14ac:dyDescent="0.2">
      <c r="B21" s="25"/>
      <c r="C21" s="25"/>
      <c r="E21" s="25"/>
    </row>
    <row r="22" spans="1:6" x14ac:dyDescent="0.2">
      <c r="A22" s="41" t="s">
        <v>68</v>
      </c>
      <c r="B22" s="25"/>
      <c r="C22" s="25"/>
      <c r="E22" s="25"/>
    </row>
    <row r="24" spans="1:6" x14ac:dyDescent="0.2">
      <c r="A24" s="1" t="s">
        <v>18</v>
      </c>
      <c r="B24" s="1" t="s">
        <v>34</v>
      </c>
      <c r="C24" s="1"/>
      <c r="D24" s="1"/>
      <c r="E24" s="2"/>
    </row>
    <row r="25" spans="1:6" x14ac:dyDescent="0.2">
      <c r="A25" s="3">
        <v>3</v>
      </c>
      <c r="B25" s="1" t="s">
        <v>4</v>
      </c>
      <c r="C25" s="1"/>
      <c r="D25" s="1"/>
      <c r="E25" s="2"/>
    </row>
    <row r="26" spans="1:6" x14ac:dyDescent="0.2">
      <c r="A26" s="3">
        <v>2</v>
      </c>
      <c r="B26" s="1" t="s">
        <v>5</v>
      </c>
      <c r="C26" s="1"/>
      <c r="D26" s="1"/>
      <c r="E26" s="2"/>
    </row>
    <row r="27" spans="1:6" x14ac:dyDescent="0.2">
      <c r="A27" s="2" t="s">
        <v>6</v>
      </c>
      <c r="B27" s="2" t="s">
        <v>7</v>
      </c>
      <c r="C27" s="2" t="s">
        <v>8</v>
      </c>
      <c r="D27" s="10" t="s">
        <v>3</v>
      </c>
      <c r="E27" s="2"/>
    </row>
    <row r="28" spans="1:6" x14ac:dyDescent="0.2">
      <c r="A28" s="28">
        <v>2</v>
      </c>
      <c r="B28" s="28">
        <v>3</v>
      </c>
      <c r="C28" s="28">
        <v>1</v>
      </c>
      <c r="D28" s="29"/>
      <c r="E28" s="2"/>
    </row>
    <row r="29" spans="1:6" x14ac:dyDescent="0.2">
      <c r="A29" s="28">
        <v>1</v>
      </c>
      <c r="B29" s="28">
        <v>1</v>
      </c>
      <c r="C29" s="28">
        <v>1</v>
      </c>
      <c r="D29" s="28">
        <f>SUM(A29:C29)</f>
        <v>3</v>
      </c>
      <c r="E29" s="3"/>
    </row>
    <row r="30" spans="1:6" x14ac:dyDescent="0.2">
      <c r="A30" s="28">
        <v>1</v>
      </c>
      <c r="B30" s="28">
        <v>4</v>
      </c>
      <c r="C30" s="28">
        <v>7</v>
      </c>
      <c r="D30" s="28">
        <v>9</v>
      </c>
      <c r="E30" s="3"/>
    </row>
    <row r="31" spans="1:6" x14ac:dyDescent="0.2">
      <c r="A31" s="30">
        <v>1</v>
      </c>
      <c r="B31" s="30">
        <v>2</v>
      </c>
      <c r="C31" s="30">
        <v>0</v>
      </c>
      <c r="D31" s="30">
        <v>8</v>
      </c>
      <c r="E31" s="7" t="s">
        <v>0</v>
      </c>
      <c r="F31" s="32" t="s">
        <v>36</v>
      </c>
    </row>
    <row r="32" spans="1:6" x14ac:dyDescent="0.2">
      <c r="A32" s="31"/>
      <c r="B32" s="31"/>
      <c r="C32" s="31"/>
      <c r="D32" s="31">
        <v>3</v>
      </c>
      <c r="E32" s="7" t="s">
        <v>1</v>
      </c>
    </row>
    <row r="34" spans="1:5" x14ac:dyDescent="0.2">
      <c r="A34" s="46" t="s">
        <v>37</v>
      </c>
    </row>
    <row r="35" spans="1:5" x14ac:dyDescent="0.2">
      <c r="A35" s="46"/>
    </row>
    <row r="36" spans="1:5" x14ac:dyDescent="0.2">
      <c r="A36" s="24" t="s">
        <v>39</v>
      </c>
    </row>
    <row r="37" spans="1:5" x14ac:dyDescent="0.2">
      <c r="A37" s="23" t="s">
        <v>41</v>
      </c>
      <c r="B37" s="25"/>
      <c r="C37" s="25"/>
      <c r="D37" s="25"/>
    </row>
    <row r="38" spans="1:5" x14ac:dyDescent="0.2">
      <c r="A38" s="26" t="s">
        <v>28</v>
      </c>
      <c r="B38" s="25"/>
      <c r="C38" s="25"/>
      <c r="D38" s="25"/>
    </row>
    <row r="39" spans="1:5" x14ac:dyDescent="0.2">
      <c r="A39" s="33" t="s">
        <v>42</v>
      </c>
      <c r="B39" s="25"/>
      <c r="C39" s="25"/>
      <c r="D39" s="25"/>
    </row>
    <row r="40" spans="1:5" x14ac:dyDescent="0.2">
      <c r="A40" s="23" t="s">
        <v>43</v>
      </c>
      <c r="B40" s="25"/>
      <c r="C40" s="25"/>
    </row>
    <row r="41" spans="1:5" x14ac:dyDescent="0.2">
      <c r="A41" s="33" t="s">
        <v>44</v>
      </c>
      <c r="B41" s="25"/>
      <c r="C41" s="25"/>
      <c r="E41" s="25"/>
    </row>
    <row r="42" spans="1:5" x14ac:dyDescent="0.2">
      <c r="A42" s="23" t="s">
        <v>38</v>
      </c>
      <c r="B42" s="25"/>
      <c r="C42" s="25"/>
      <c r="E42" s="25"/>
    </row>
    <row r="43" spans="1:5" x14ac:dyDescent="0.2">
      <c r="A43" s="23"/>
      <c r="B43" s="25"/>
      <c r="C43" s="25"/>
      <c r="E43" s="25"/>
    </row>
    <row r="44" spans="1:5" x14ac:dyDescent="0.2">
      <c r="A44" s="41" t="s">
        <v>69</v>
      </c>
      <c r="B44" s="25"/>
      <c r="C44" s="25"/>
      <c r="E44" s="25"/>
    </row>
    <row r="45" spans="1:5" x14ac:dyDescent="0.2">
      <c r="A45" s="41"/>
      <c r="B45" s="25"/>
      <c r="C45" s="25"/>
      <c r="E45" s="25"/>
    </row>
    <row r="46" spans="1:5" x14ac:dyDescent="0.2">
      <c r="A46" s="1" t="s">
        <v>18</v>
      </c>
      <c r="B46" s="5" t="s">
        <v>40</v>
      </c>
      <c r="C46" s="1"/>
      <c r="D46" s="1"/>
      <c r="E46" s="2"/>
    </row>
    <row r="47" spans="1:5" x14ac:dyDescent="0.2">
      <c r="A47" s="3">
        <v>2</v>
      </c>
      <c r="B47" s="1" t="s">
        <v>4</v>
      </c>
      <c r="C47" s="1"/>
      <c r="D47" s="1"/>
      <c r="E47" s="2"/>
    </row>
    <row r="48" spans="1:5" x14ac:dyDescent="0.2">
      <c r="A48" s="3">
        <v>3</v>
      </c>
      <c r="B48" s="1" t="s">
        <v>5</v>
      </c>
      <c r="C48" s="1"/>
      <c r="D48" s="1"/>
      <c r="E48" s="2"/>
    </row>
    <row r="49" spans="1:5" x14ac:dyDescent="0.2">
      <c r="A49" s="2" t="s">
        <v>6</v>
      </c>
      <c r="B49" s="2" t="s">
        <v>7</v>
      </c>
      <c r="C49" s="10" t="s">
        <v>3</v>
      </c>
      <c r="D49" s="2"/>
      <c r="E49" s="2"/>
    </row>
    <row r="50" spans="1:5" x14ac:dyDescent="0.2">
      <c r="A50" s="28">
        <v>-2</v>
      </c>
      <c r="B50" s="28">
        <v>-3</v>
      </c>
      <c r="C50" s="29"/>
      <c r="D50" s="2"/>
      <c r="E50" s="32" t="s">
        <v>46</v>
      </c>
    </row>
    <row r="51" spans="1:5" x14ac:dyDescent="0.2">
      <c r="A51" s="28">
        <v>0</v>
      </c>
      <c r="B51" s="28">
        <v>-1</v>
      </c>
      <c r="C51" s="28">
        <v>-2</v>
      </c>
      <c r="D51" s="3"/>
      <c r="E51" s="32" t="s">
        <v>46</v>
      </c>
    </row>
    <row r="52" spans="1:5" x14ac:dyDescent="0.2">
      <c r="A52" s="28">
        <v>-4</v>
      </c>
      <c r="B52" s="28">
        <v>-3</v>
      </c>
      <c r="C52" s="28">
        <v>-12</v>
      </c>
      <c r="D52" s="3"/>
      <c r="E52" s="32" t="s">
        <v>46</v>
      </c>
    </row>
    <row r="53" spans="1:5" x14ac:dyDescent="0.2">
      <c r="A53" s="28">
        <v>1</v>
      </c>
      <c r="B53" s="28">
        <v>2</v>
      </c>
      <c r="C53" s="28">
        <v>8</v>
      </c>
      <c r="D53" s="1"/>
      <c r="E53" s="7"/>
    </row>
    <row r="54" spans="1:5" x14ac:dyDescent="0.2">
      <c r="A54" s="34">
        <v>1.5</v>
      </c>
      <c r="B54" s="34">
        <v>2</v>
      </c>
      <c r="C54" s="30">
        <v>-9</v>
      </c>
      <c r="D54" s="7" t="s">
        <v>45</v>
      </c>
      <c r="E54" s="32" t="s">
        <v>36</v>
      </c>
    </row>
    <row r="55" spans="1:5" x14ac:dyDescent="0.2">
      <c r="A55" s="31"/>
      <c r="B55" s="31"/>
      <c r="C55" s="31">
        <v>3</v>
      </c>
      <c r="D55" s="7" t="s">
        <v>1</v>
      </c>
      <c r="E55" s="7"/>
    </row>
    <row r="57" spans="1:5" x14ac:dyDescent="0.2">
      <c r="A57" s="36" t="s">
        <v>70</v>
      </c>
    </row>
    <row r="59" spans="1:5" x14ac:dyDescent="0.2">
      <c r="A59" s="24" t="s">
        <v>39</v>
      </c>
    </row>
    <row r="60" spans="1:5" x14ac:dyDescent="0.2">
      <c r="A60" s="23" t="s">
        <v>64</v>
      </c>
    </row>
    <row r="61" spans="1:5" x14ac:dyDescent="0.2">
      <c r="A61" s="24" t="s">
        <v>28</v>
      </c>
    </row>
    <row r="62" spans="1:5" x14ac:dyDescent="0.2">
      <c r="A62" s="23" t="s">
        <v>52</v>
      </c>
    </row>
    <row r="63" spans="1:5" x14ac:dyDescent="0.2">
      <c r="A63" s="23" t="s">
        <v>65</v>
      </c>
    </row>
    <row r="65" spans="1:4" x14ac:dyDescent="0.2">
      <c r="A65" s="41" t="s">
        <v>71</v>
      </c>
    </row>
    <row r="66" spans="1:4" x14ac:dyDescent="0.2">
      <c r="A66" s="40"/>
    </row>
    <row r="67" spans="1:4" x14ac:dyDescent="0.2">
      <c r="A67" s="24" t="s">
        <v>39</v>
      </c>
    </row>
    <row r="68" spans="1:4" x14ac:dyDescent="0.2">
      <c r="A68" s="33" t="s">
        <v>53</v>
      </c>
      <c r="B68" s="39" t="s">
        <v>54</v>
      </c>
    </row>
    <row r="69" spans="1:4" x14ac:dyDescent="0.2">
      <c r="A69" s="24" t="s">
        <v>28</v>
      </c>
    </row>
    <row r="70" spans="1:4" x14ac:dyDescent="0.2">
      <c r="A70" s="23" t="s">
        <v>55</v>
      </c>
      <c r="B70" s="37" t="s">
        <v>57</v>
      </c>
      <c r="C70" s="38" t="s">
        <v>59</v>
      </c>
    </row>
    <row r="71" spans="1:4" x14ac:dyDescent="0.2">
      <c r="A71" s="44" t="s">
        <v>56</v>
      </c>
      <c r="B71" s="37" t="s">
        <v>58</v>
      </c>
      <c r="C71" s="38" t="s">
        <v>60</v>
      </c>
    </row>
    <row r="73" spans="1:4" x14ac:dyDescent="0.2">
      <c r="A73" s="36" t="s">
        <v>72</v>
      </c>
    </row>
    <row r="75" spans="1:4" x14ac:dyDescent="0.2">
      <c r="A75" s="45" t="s">
        <v>18</v>
      </c>
      <c r="B75" s="1" t="s">
        <v>19</v>
      </c>
      <c r="C75" s="1"/>
      <c r="D75" s="2"/>
    </row>
    <row r="76" spans="1:4" x14ac:dyDescent="0.2">
      <c r="A76" s="3">
        <v>2</v>
      </c>
      <c r="B76" s="1" t="s">
        <v>4</v>
      </c>
      <c r="C76" s="1"/>
      <c r="D76" s="2"/>
    </row>
    <row r="77" spans="1:4" x14ac:dyDescent="0.2">
      <c r="A77" s="3">
        <v>4</v>
      </c>
      <c r="B77" s="1" t="s">
        <v>5</v>
      </c>
      <c r="C77" s="1"/>
      <c r="D77" s="2"/>
    </row>
    <row r="78" spans="1:4" x14ac:dyDescent="0.2">
      <c r="A78" s="2" t="s">
        <v>6</v>
      </c>
      <c r="B78" s="2" t="s">
        <v>7</v>
      </c>
      <c r="C78" s="10" t="s">
        <v>3</v>
      </c>
      <c r="D78" s="2"/>
    </row>
    <row r="79" spans="1:4" x14ac:dyDescent="0.2">
      <c r="A79" s="47">
        <f>SUMIF(A80:A83,"&lt;0")</f>
        <v>-5.1956815114709849E-2</v>
      </c>
      <c r="B79" s="47">
        <f>SUMIF(B80:B83,"&lt;0")</f>
        <v>-5.0641025641025642E-2</v>
      </c>
      <c r="C79" s="2"/>
      <c r="D79" s="2"/>
    </row>
    <row r="80" spans="1:4" x14ac:dyDescent="0.2">
      <c r="A80" s="47">
        <f>1/(INT((ROW()+1)/2)+COLUMN()-3)</f>
        <v>2.6315789473684209E-2</v>
      </c>
      <c r="B80" s="47">
        <f>1/(INT((ROW()+1)/2)+COLUMN()-3)</f>
        <v>2.564102564102564E-2</v>
      </c>
      <c r="C80" s="47">
        <f>SUM(A80:B80)</f>
        <v>5.1956815114709849E-2</v>
      </c>
      <c r="D80" s="3"/>
    </row>
    <row r="81" spans="1:4" x14ac:dyDescent="0.2">
      <c r="A81" s="47">
        <f>-1/(INT((ROW()+1)/2)+COLUMN()-4)</f>
        <v>-2.6315789473684209E-2</v>
      </c>
      <c r="B81" s="47">
        <f>-1/(INT((ROW()+1)/2)+COLUMN()-4)</f>
        <v>-2.564102564102564E-2</v>
      </c>
      <c r="C81" s="47">
        <f>SUM(A81:B81)</f>
        <v>-5.1956815114709849E-2</v>
      </c>
      <c r="D81" s="3"/>
    </row>
    <row r="82" spans="1:4" x14ac:dyDescent="0.2">
      <c r="A82" s="47">
        <f>1/(INT((ROW()+1)/2)+COLUMN()-3)</f>
        <v>2.564102564102564E-2</v>
      </c>
      <c r="B82" s="47">
        <f>1/(INT((ROW()+1)/2)+COLUMN()-3)</f>
        <v>2.5000000000000001E-2</v>
      </c>
      <c r="C82" s="47">
        <f>SUM(A82:B82)</f>
        <v>5.0641025641025642E-2</v>
      </c>
      <c r="D82" s="3"/>
    </row>
    <row r="83" spans="1:4" x14ac:dyDescent="0.2">
      <c r="A83" s="47">
        <f>-1/(INT((ROW()+1)/2)+COLUMN()-4)</f>
        <v>-2.564102564102564E-2</v>
      </c>
      <c r="B83" s="47">
        <f>-1/(INT((ROW()+1)/2)+COLUMN()-4)</f>
        <v>-2.5000000000000001E-2</v>
      </c>
      <c r="C83" s="47">
        <f>SUM(A83:B83)</f>
        <v>-5.0641025641025642E-2</v>
      </c>
      <c r="D83" s="3"/>
    </row>
    <row r="84" spans="1:4" x14ac:dyDescent="0.2">
      <c r="A84" s="48">
        <v>1.0000000000000004</v>
      </c>
      <c r="B84" s="48">
        <v>0.99999999999999933</v>
      </c>
      <c r="C84" s="48">
        <v>-2.333333333333333</v>
      </c>
      <c r="D84" s="7" t="s">
        <v>45</v>
      </c>
    </row>
    <row r="85" spans="1:4" x14ac:dyDescent="0.2">
      <c r="A85" s="7"/>
      <c r="B85" s="7"/>
      <c r="C85" s="12">
        <v>3</v>
      </c>
      <c r="D85" s="7" t="s">
        <v>1</v>
      </c>
    </row>
    <row r="86" spans="1:4" x14ac:dyDescent="0.2">
      <c r="A86" s="7"/>
      <c r="B86" s="7"/>
      <c r="C86" s="49">
        <f>MAX(MAX(A84:B84)-1,1-MIN(A84:B84))</f>
        <v>6.6613381477509392E-16</v>
      </c>
      <c r="D86" s="7" t="s">
        <v>2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N32"/>
  <sheetViews>
    <sheetView topLeftCell="A7" workbookViewId="0">
      <selection activeCell="N30" sqref="N30"/>
    </sheetView>
  </sheetViews>
  <sheetFormatPr defaultRowHeight="12.75" x14ac:dyDescent="0.2"/>
  <cols>
    <col min="1" max="1" width="13.42578125" style="1" bestFit="1" customWidth="1"/>
    <col min="2" max="12" width="13.42578125" style="1" customWidth="1"/>
    <col min="13" max="13" width="14.42578125" style="1" bestFit="1" customWidth="1"/>
    <col min="14" max="14" width="9.7109375" style="1" bestFit="1" customWidth="1"/>
    <col min="15" max="16384" width="9.140625" style="1"/>
  </cols>
  <sheetData>
    <row r="1" spans="1:14" x14ac:dyDescent="0.2">
      <c r="A1" s="1" t="s">
        <v>18</v>
      </c>
      <c r="B1" s="1" t="s">
        <v>19</v>
      </c>
      <c r="N1" s="2"/>
    </row>
    <row r="2" spans="1:14" x14ac:dyDescent="0.2">
      <c r="A2" s="3">
        <v>12</v>
      </c>
      <c r="B2" s="1" t="s">
        <v>4</v>
      </c>
      <c r="N2" s="2"/>
    </row>
    <row r="3" spans="1:14" x14ac:dyDescent="0.2">
      <c r="A3" s="3">
        <v>24</v>
      </c>
      <c r="B3" s="1" t="s">
        <v>5</v>
      </c>
      <c r="N3" s="2"/>
    </row>
    <row r="4" spans="1:14" x14ac:dyDescent="0.2">
      <c r="A4" s="2" t="s">
        <v>6</v>
      </c>
      <c r="B4" s="2" t="s">
        <v>7</v>
      </c>
      <c r="C4" s="2" t="s">
        <v>8</v>
      </c>
      <c r="D4" s="2" t="s">
        <v>9</v>
      </c>
      <c r="E4" s="2" t="s">
        <v>10</v>
      </c>
      <c r="F4" s="2" t="s">
        <v>11</v>
      </c>
      <c r="G4" s="2" t="s">
        <v>12</v>
      </c>
      <c r="H4" s="2" t="s">
        <v>13</v>
      </c>
      <c r="I4" s="2" t="s">
        <v>14</v>
      </c>
      <c r="J4" s="2" t="s">
        <v>15</v>
      </c>
      <c r="K4" s="2" t="s">
        <v>16</v>
      </c>
      <c r="L4" s="2" t="s">
        <v>17</v>
      </c>
      <c r="M4" s="10" t="s">
        <v>3</v>
      </c>
      <c r="N4" s="2"/>
    </row>
    <row r="5" spans="1:14" x14ac:dyDescent="0.2">
      <c r="A5" s="4">
        <f t="shared" ref="A5:J5" si="0">SUMIF(A6:A29,"&lt;0")</f>
        <v>-3.1032106782106781</v>
      </c>
      <c r="B5" s="4">
        <f t="shared" si="0"/>
        <v>-2.1801337551337556</v>
      </c>
      <c r="C5" s="4">
        <f t="shared" si="0"/>
        <v>-1.7515623265623264</v>
      </c>
      <c r="D5" s="4">
        <f t="shared" si="0"/>
        <v>-1.4848956598956597</v>
      </c>
      <c r="E5" s="4">
        <f t="shared" si="0"/>
        <v>-1.2973956598956597</v>
      </c>
      <c r="F5" s="4">
        <f t="shared" si="0"/>
        <v>-1.1562191893074247</v>
      </c>
      <c r="G5" s="4">
        <f t="shared" si="0"/>
        <v>-1.0451080781963136</v>
      </c>
      <c r="H5" s="4">
        <f t="shared" si="0"/>
        <v>-0.95488251428653914</v>
      </c>
      <c r="I5" s="4">
        <f t="shared" si="0"/>
        <v>-0.87988251428653919</v>
      </c>
      <c r="J5" s="4">
        <f t="shared" si="0"/>
        <v>-0.8163904507944757</v>
      </c>
      <c r="K5" s="4">
        <f t="shared" ref="K5" si="1">SUMIF(K6:K29,"&lt;0")</f>
        <v>-0.76184499624902102</v>
      </c>
      <c r="L5" s="4">
        <f t="shared" ref="L5" si="2">SUMIF(L6:L29,"&lt;0")</f>
        <v>-0.71441416620949538</v>
      </c>
      <c r="N5" s="2"/>
    </row>
    <row r="6" spans="1:14" x14ac:dyDescent="0.2">
      <c r="A6" s="4">
        <f>1/(INT((ROW()+1)/2)+COLUMN()-3)</f>
        <v>1</v>
      </c>
      <c r="B6" s="4">
        <f t="shared" ref="B6:L26" si="3">1/(INT((ROW()+1)/2)+COLUMN()-3)</f>
        <v>0.5</v>
      </c>
      <c r="C6" s="4">
        <f t="shared" si="3"/>
        <v>0.33333333333333331</v>
      </c>
      <c r="D6" s="4">
        <f t="shared" si="3"/>
        <v>0.25</v>
      </c>
      <c r="E6" s="4">
        <f t="shared" si="3"/>
        <v>0.2</v>
      </c>
      <c r="F6" s="4">
        <f t="shared" si="3"/>
        <v>0.16666666666666666</v>
      </c>
      <c r="G6" s="4">
        <f t="shared" si="3"/>
        <v>0.14285714285714285</v>
      </c>
      <c r="H6" s="4">
        <f t="shared" si="3"/>
        <v>0.125</v>
      </c>
      <c r="I6" s="4">
        <f t="shared" si="3"/>
        <v>0.1111111111111111</v>
      </c>
      <c r="J6" s="4">
        <f t="shared" si="3"/>
        <v>0.1</v>
      </c>
      <c r="K6" s="4">
        <f t="shared" si="3"/>
        <v>9.0909090909090912E-2</v>
      </c>
      <c r="L6" s="4">
        <f t="shared" si="3"/>
        <v>8.3333333333333329E-2</v>
      </c>
      <c r="M6" s="4">
        <f t="shared" ref="M6:M29" si="4">SUM(A6:L6)</f>
        <v>3.1032106782106781</v>
      </c>
      <c r="N6" s="3"/>
    </row>
    <row r="7" spans="1:14" x14ac:dyDescent="0.2">
      <c r="A7" s="4">
        <f>-1/(INT((ROW()+1)/2)+COLUMN()-4)</f>
        <v>-1</v>
      </c>
      <c r="B7" s="4">
        <f t="shared" ref="B7:L27" si="5">-1/(INT((ROW()+1)/2)+COLUMN()-4)</f>
        <v>-0.5</v>
      </c>
      <c r="C7" s="4">
        <f t="shared" si="5"/>
        <v>-0.33333333333333331</v>
      </c>
      <c r="D7" s="4">
        <f t="shared" si="5"/>
        <v>-0.25</v>
      </c>
      <c r="E7" s="4">
        <f t="shared" si="5"/>
        <v>-0.2</v>
      </c>
      <c r="F7" s="4">
        <f t="shared" si="5"/>
        <v>-0.16666666666666666</v>
      </c>
      <c r="G7" s="4">
        <f t="shared" si="5"/>
        <v>-0.14285714285714285</v>
      </c>
      <c r="H7" s="4">
        <f t="shared" si="5"/>
        <v>-0.125</v>
      </c>
      <c r="I7" s="4">
        <f t="shared" si="5"/>
        <v>-0.1111111111111111</v>
      </c>
      <c r="J7" s="4">
        <f t="shared" si="5"/>
        <v>-0.1</v>
      </c>
      <c r="K7" s="4">
        <f t="shared" si="5"/>
        <v>-9.0909090909090912E-2</v>
      </c>
      <c r="L7" s="4">
        <f t="shared" si="5"/>
        <v>-8.3333333333333329E-2</v>
      </c>
      <c r="M7" s="4">
        <f t="shared" si="4"/>
        <v>-3.1032106782106781</v>
      </c>
      <c r="N7" s="3"/>
    </row>
    <row r="8" spans="1:14" x14ac:dyDescent="0.2">
      <c r="A8" s="4">
        <f>1/(INT((ROW()+1)/2)+COLUMN()-3)</f>
        <v>0.5</v>
      </c>
      <c r="B8" s="4">
        <f t="shared" si="3"/>
        <v>0.33333333333333331</v>
      </c>
      <c r="C8" s="4">
        <f t="shared" si="3"/>
        <v>0.25</v>
      </c>
      <c r="D8" s="4">
        <f t="shared" si="3"/>
        <v>0.2</v>
      </c>
      <c r="E8" s="4">
        <f t="shared" si="3"/>
        <v>0.16666666666666666</v>
      </c>
      <c r="F8" s="4">
        <f t="shared" si="3"/>
        <v>0.14285714285714285</v>
      </c>
      <c r="G8" s="4">
        <f t="shared" si="3"/>
        <v>0.125</v>
      </c>
      <c r="H8" s="4">
        <f t="shared" si="3"/>
        <v>0.1111111111111111</v>
      </c>
      <c r="I8" s="4">
        <f t="shared" si="3"/>
        <v>0.1</v>
      </c>
      <c r="J8" s="4">
        <f t="shared" si="3"/>
        <v>9.0909090909090912E-2</v>
      </c>
      <c r="K8" s="4">
        <f t="shared" si="3"/>
        <v>8.3333333333333329E-2</v>
      </c>
      <c r="L8" s="4">
        <f t="shared" si="3"/>
        <v>7.6923076923076927E-2</v>
      </c>
      <c r="M8" s="4">
        <f t="shared" si="4"/>
        <v>2.1801337551337556</v>
      </c>
      <c r="N8" s="3"/>
    </row>
    <row r="9" spans="1:14" x14ac:dyDescent="0.2">
      <c r="A9" s="4">
        <f>-1/(INT((ROW()+1)/2)+COLUMN()-4)</f>
        <v>-0.5</v>
      </c>
      <c r="B9" s="4">
        <f t="shared" si="5"/>
        <v>-0.33333333333333331</v>
      </c>
      <c r="C9" s="4">
        <f t="shared" si="5"/>
        <v>-0.25</v>
      </c>
      <c r="D9" s="4">
        <f t="shared" si="5"/>
        <v>-0.2</v>
      </c>
      <c r="E9" s="4">
        <f t="shared" si="5"/>
        <v>-0.16666666666666666</v>
      </c>
      <c r="F9" s="4">
        <f t="shared" si="5"/>
        <v>-0.14285714285714285</v>
      </c>
      <c r="G9" s="4">
        <f t="shared" si="5"/>
        <v>-0.125</v>
      </c>
      <c r="H9" s="4">
        <f t="shared" si="5"/>
        <v>-0.1111111111111111</v>
      </c>
      <c r="I9" s="4">
        <f t="shared" si="5"/>
        <v>-0.1</v>
      </c>
      <c r="J9" s="4">
        <f t="shared" si="5"/>
        <v>-9.0909090909090912E-2</v>
      </c>
      <c r="K9" s="4">
        <f t="shared" si="5"/>
        <v>-8.3333333333333329E-2</v>
      </c>
      <c r="L9" s="4">
        <f t="shared" si="5"/>
        <v>-7.6923076923076927E-2</v>
      </c>
      <c r="M9" s="4">
        <f t="shared" si="4"/>
        <v>-2.1801337551337556</v>
      </c>
      <c r="N9" s="3"/>
    </row>
    <row r="10" spans="1:14" x14ac:dyDescent="0.2">
      <c r="A10" s="4">
        <f>1/(INT((ROW()+1)/2)+COLUMN()-3)</f>
        <v>0.33333333333333331</v>
      </c>
      <c r="B10" s="4">
        <f t="shared" si="3"/>
        <v>0.25</v>
      </c>
      <c r="C10" s="4">
        <f t="shared" si="3"/>
        <v>0.2</v>
      </c>
      <c r="D10" s="4">
        <f t="shared" si="3"/>
        <v>0.16666666666666666</v>
      </c>
      <c r="E10" s="4">
        <f t="shared" si="3"/>
        <v>0.14285714285714285</v>
      </c>
      <c r="F10" s="4">
        <f t="shared" si="3"/>
        <v>0.125</v>
      </c>
      <c r="G10" s="4">
        <f t="shared" si="3"/>
        <v>0.1111111111111111</v>
      </c>
      <c r="H10" s="4">
        <f t="shared" si="3"/>
        <v>0.1</v>
      </c>
      <c r="I10" s="4">
        <f t="shared" si="3"/>
        <v>9.0909090909090912E-2</v>
      </c>
      <c r="J10" s="4">
        <f t="shared" si="3"/>
        <v>8.3333333333333329E-2</v>
      </c>
      <c r="K10" s="4">
        <f t="shared" si="3"/>
        <v>7.6923076923076927E-2</v>
      </c>
      <c r="L10" s="4">
        <f t="shared" si="3"/>
        <v>7.1428571428571425E-2</v>
      </c>
      <c r="M10" s="4">
        <f t="shared" si="4"/>
        <v>1.7515623265623264</v>
      </c>
      <c r="N10" s="3"/>
    </row>
    <row r="11" spans="1:14" x14ac:dyDescent="0.2">
      <c r="A11" s="4">
        <f>-1/(INT((ROW()+1)/2)+COLUMN()-4)</f>
        <v>-0.33333333333333331</v>
      </c>
      <c r="B11" s="4">
        <f t="shared" si="5"/>
        <v>-0.25</v>
      </c>
      <c r="C11" s="4">
        <f t="shared" si="5"/>
        <v>-0.2</v>
      </c>
      <c r="D11" s="4">
        <f t="shared" si="5"/>
        <v>-0.16666666666666666</v>
      </c>
      <c r="E11" s="4">
        <f t="shared" si="5"/>
        <v>-0.14285714285714285</v>
      </c>
      <c r="F11" s="4">
        <f t="shared" si="5"/>
        <v>-0.125</v>
      </c>
      <c r="G11" s="4">
        <f t="shared" si="5"/>
        <v>-0.1111111111111111</v>
      </c>
      <c r="H11" s="4">
        <f t="shared" si="5"/>
        <v>-0.1</v>
      </c>
      <c r="I11" s="4">
        <f t="shared" si="5"/>
        <v>-9.0909090909090912E-2</v>
      </c>
      <c r="J11" s="4">
        <f t="shared" si="5"/>
        <v>-8.3333333333333329E-2</v>
      </c>
      <c r="K11" s="4">
        <f t="shared" si="5"/>
        <v>-7.6923076923076927E-2</v>
      </c>
      <c r="L11" s="4">
        <f t="shared" si="5"/>
        <v>-7.1428571428571425E-2</v>
      </c>
      <c r="M11" s="4">
        <f t="shared" si="4"/>
        <v>-1.7515623265623264</v>
      </c>
      <c r="N11" s="3"/>
    </row>
    <row r="12" spans="1:14" x14ac:dyDescent="0.2">
      <c r="A12" s="4">
        <f>1/(INT((ROW()+1)/2)+COLUMN()-3)</f>
        <v>0.25</v>
      </c>
      <c r="B12" s="4">
        <f t="shared" si="3"/>
        <v>0.2</v>
      </c>
      <c r="C12" s="4">
        <f t="shared" si="3"/>
        <v>0.16666666666666666</v>
      </c>
      <c r="D12" s="4">
        <f t="shared" si="3"/>
        <v>0.14285714285714285</v>
      </c>
      <c r="E12" s="4">
        <f t="shared" si="3"/>
        <v>0.125</v>
      </c>
      <c r="F12" s="4">
        <f t="shared" si="3"/>
        <v>0.1111111111111111</v>
      </c>
      <c r="G12" s="4">
        <f t="shared" si="3"/>
        <v>0.1</v>
      </c>
      <c r="H12" s="4">
        <f t="shared" si="3"/>
        <v>9.0909090909090912E-2</v>
      </c>
      <c r="I12" s="4">
        <f t="shared" si="3"/>
        <v>8.3333333333333329E-2</v>
      </c>
      <c r="J12" s="4">
        <f t="shared" si="3"/>
        <v>7.6923076923076927E-2</v>
      </c>
      <c r="K12" s="4">
        <f t="shared" si="3"/>
        <v>7.1428571428571425E-2</v>
      </c>
      <c r="L12" s="4">
        <f t="shared" si="3"/>
        <v>6.6666666666666666E-2</v>
      </c>
      <c r="M12" s="4">
        <f t="shared" si="4"/>
        <v>1.4848956598956597</v>
      </c>
      <c r="N12" s="3"/>
    </row>
    <row r="13" spans="1:14" x14ac:dyDescent="0.2">
      <c r="A13" s="4">
        <f>-1/(INT((ROW()+1)/2)+COLUMN()-4)</f>
        <v>-0.25</v>
      </c>
      <c r="B13" s="4">
        <f t="shared" si="5"/>
        <v>-0.2</v>
      </c>
      <c r="C13" s="4">
        <f t="shared" si="5"/>
        <v>-0.16666666666666666</v>
      </c>
      <c r="D13" s="4">
        <f t="shared" si="5"/>
        <v>-0.14285714285714285</v>
      </c>
      <c r="E13" s="4">
        <f t="shared" si="5"/>
        <v>-0.125</v>
      </c>
      <c r="F13" s="4">
        <f t="shared" si="5"/>
        <v>-0.1111111111111111</v>
      </c>
      <c r="G13" s="4">
        <f t="shared" si="5"/>
        <v>-0.1</v>
      </c>
      <c r="H13" s="4">
        <f t="shared" si="5"/>
        <v>-9.0909090909090912E-2</v>
      </c>
      <c r="I13" s="4">
        <f t="shared" si="5"/>
        <v>-8.3333333333333329E-2</v>
      </c>
      <c r="J13" s="4">
        <f t="shared" si="5"/>
        <v>-7.6923076923076927E-2</v>
      </c>
      <c r="K13" s="4">
        <f t="shared" si="5"/>
        <v>-7.1428571428571425E-2</v>
      </c>
      <c r="L13" s="4">
        <f t="shared" si="5"/>
        <v>-6.6666666666666666E-2</v>
      </c>
      <c r="M13" s="4">
        <f t="shared" si="4"/>
        <v>-1.4848956598956597</v>
      </c>
      <c r="N13" s="3"/>
    </row>
    <row r="14" spans="1:14" x14ac:dyDescent="0.2">
      <c r="A14" s="4">
        <f>1/(INT((ROW()+1)/2)+COLUMN()-3)</f>
        <v>0.2</v>
      </c>
      <c r="B14" s="4">
        <f t="shared" si="3"/>
        <v>0.16666666666666666</v>
      </c>
      <c r="C14" s="4">
        <f t="shared" si="3"/>
        <v>0.14285714285714285</v>
      </c>
      <c r="D14" s="4">
        <f t="shared" si="3"/>
        <v>0.125</v>
      </c>
      <c r="E14" s="4">
        <f t="shared" si="3"/>
        <v>0.1111111111111111</v>
      </c>
      <c r="F14" s="4">
        <f t="shared" si="3"/>
        <v>0.1</v>
      </c>
      <c r="G14" s="4">
        <f t="shared" si="3"/>
        <v>9.0909090909090912E-2</v>
      </c>
      <c r="H14" s="4">
        <f t="shared" si="3"/>
        <v>8.3333333333333329E-2</v>
      </c>
      <c r="I14" s="4">
        <f t="shared" si="3"/>
        <v>7.6923076923076927E-2</v>
      </c>
      <c r="J14" s="4">
        <f t="shared" si="3"/>
        <v>7.1428571428571425E-2</v>
      </c>
      <c r="K14" s="4">
        <f t="shared" si="3"/>
        <v>6.6666666666666666E-2</v>
      </c>
      <c r="L14" s="4">
        <f t="shared" si="3"/>
        <v>6.25E-2</v>
      </c>
      <c r="M14" s="4">
        <f t="shared" si="4"/>
        <v>1.2973956598956597</v>
      </c>
      <c r="N14" s="3"/>
    </row>
    <row r="15" spans="1:14" x14ac:dyDescent="0.2">
      <c r="A15" s="4">
        <f>-1/(INT((ROW()+1)/2)+COLUMN()-4)</f>
        <v>-0.2</v>
      </c>
      <c r="B15" s="4">
        <f t="shared" si="5"/>
        <v>-0.16666666666666666</v>
      </c>
      <c r="C15" s="4">
        <f t="shared" si="5"/>
        <v>-0.14285714285714285</v>
      </c>
      <c r="D15" s="4">
        <f t="shared" si="5"/>
        <v>-0.125</v>
      </c>
      <c r="E15" s="4">
        <f t="shared" si="5"/>
        <v>-0.1111111111111111</v>
      </c>
      <c r="F15" s="4">
        <f t="shared" si="5"/>
        <v>-0.1</v>
      </c>
      <c r="G15" s="4">
        <f t="shared" si="5"/>
        <v>-9.0909090909090912E-2</v>
      </c>
      <c r="H15" s="4">
        <f t="shared" si="5"/>
        <v>-8.3333333333333329E-2</v>
      </c>
      <c r="I15" s="4">
        <f t="shared" si="5"/>
        <v>-7.6923076923076927E-2</v>
      </c>
      <c r="J15" s="4">
        <f t="shared" si="5"/>
        <v>-7.1428571428571425E-2</v>
      </c>
      <c r="K15" s="4">
        <f t="shared" si="5"/>
        <v>-6.6666666666666666E-2</v>
      </c>
      <c r="L15" s="4">
        <f t="shared" si="5"/>
        <v>-6.25E-2</v>
      </c>
      <c r="M15" s="4">
        <f t="shared" si="4"/>
        <v>-1.2973956598956597</v>
      </c>
      <c r="N15" s="3"/>
    </row>
    <row r="16" spans="1:14" x14ac:dyDescent="0.2">
      <c r="A16" s="4">
        <f>1/(INT((ROW()+1)/2)+COLUMN()-3)</f>
        <v>0.16666666666666666</v>
      </c>
      <c r="B16" s="4">
        <f t="shared" si="3"/>
        <v>0.14285714285714285</v>
      </c>
      <c r="C16" s="4">
        <f t="shared" si="3"/>
        <v>0.125</v>
      </c>
      <c r="D16" s="4">
        <f t="shared" si="3"/>
        <v>0.1111111111111111</v>
      </c>
      <c r="E16" s="4">
        <f t="shared" si="3"/>
        <v>0.1</v>
      </c>
      <c r="F16" s="4">
        <f t="shared" si="3"/>
        <v>9.0909090909090912E-2</v>
      </c>
      <c r="G16" s="4">
        <f t="shared" si="3"/>
        <v>8.3333333333333329E-2</v>
      </c>
      <c r="H16" s="4">
        <f t="shared" si="3"/>
        <v>7.6923076923076927E-2</v>
      </c>
      <c r="I16" s="4">
        <f t="shared" si="3"/>
        <v>7.1428571428571425E-2</v>
      </c>
      <c r="J16" s="4">
        <f t="shared" si="3"/>
        <v>6.6666666666666666E-2</v>
      </c>
      <c r="K16" s="4">
        <f t="shared" si="3"/>
        <v>6.25E-2</v>
      </c>
      <c r="L16" s="4">
        <f t="shared" si="3"/>
        <v>5.8823529411764705E-2</v>
      </c>
      <c r="M16" s="4">
        <f t="shared" si="4"/>
        <v>1.1562191893074247</v>
      </c>
      <c r="N16" s="3"/>
    </row>
    <row r="17" spans="1:14" x14ac:dyDescent="0.2">
      <c r="A17" s="4">
        <f>-1/(INT((ROW()+1)/2)+COLUMN()-4)</f>
        <v>-0.16666666666666666</v>
      </c>
      <c r="B17" s="4">
        <f t="shared" si="5"/>
        <v>-0.14285714285714285</v>
      </c>
      <c r="C17" s="4">
        <f t="shared" si="5"/>
        <v>-0.125</v>
      </c>
      <c r="D17" s="4">
        <f t="shared" si="5"/>
        <v>-0.1111111111111111</v>
      </c>
      <c r="E17" s="4">
        <f t="shared" si="5"/>
        <v>-0.1</v>
      </c>
      <c r="F17" s="4">
        <f t="shared" si="5"/>
        <v>-9.0909090909090912E-2</v>
      </c>
      <c r="G17" s="4">
        <f t="shared" si="5"/>
        <v>-8.3333333333333329E-2</v>
      </c>
      <c r="H17" s="4">
        <f t="shared" si="5"/>
        <v>-7.6923076923076927E-2</v>
      </c>
      <c r="I17" s="4">
        <f t="shared" si="5"/>
        <v>-7.1428571428571425E-2</v>
      </c>
      <c r="J17" s="4">
        <f t="shared" si="5"/>
        <v>-6.6666666666666666E-2</v>
      </c>
      <c r="K17" s="4">
        <f t="shared" si="5"/>
        <v>-6.25E-2</v>
      </c>
      <c r="L17" s="4">
        <f t="shared" si="5"/>
        <v>-5.8823529411764705E-2</v>
      </c>
      <c r="M17" s="4">
        <f t="shared" si="4"/>
        <v>-1.1562191893074247</v>
      </c>
      <c r="N17" s="3"/>
    </row>
    <row r="18" spans="1:14" x14ac:dyDescent="0.2">
      <c r="A18" s="4">
        <f>1/(INT((ROW()+1)/2)+COLUMN()-3)</f>
        <v>0.14285714285714285</v>
      </c>
      <c r="B18" s="4">
        <f t="shared" si="3"/>
        <v>0.125</v>
      </c>
      <c r="C18" s="4">
        <f t="shared" si="3"/>
        <v>0.1111111111111111</v>
      </c>
      <c r="D18" s="4">
        <f t="shared" si="3"/>
        <v>0.1</v>
      </c>
      <c r="E18" s="4">
        <f t="shared" si="3"/>
        <v>9.0909090909090912E-2</v>
      </c>
      <c r="F18" s="4">
        <f t="shared" si="3"/>
        <v>8.3333333333333329E-2</v>
      </c>
      <c r="G18" s="4">
        <f t="shared" si="3"/>
        <v>7.6923076923076927E-2</v>
      </c>
      <c r="H18" s="4">
        <f t="shared" si="3"/>
        <v>7.1428571428571425E-2</v>
      </c>
      <c r="I18" s="4">
        <f t="shared" si="3"/>
        <v>6.6666666666666666E-2</v>
      </c>
      <c r="J18" s="4">
        <f t="shared" si="3"/>
        <v>6.25E-2</v>
      </c>
      <c r="K18" s="4">
        <f t="shared" si="3"/>
        <v>5.8823529411764705E-2</v>
      </c>
      <c r="L18" s="4">
        <f t="shared" si="3"/>
        <v>5.5555555555555552E-2</v>
      </c>
      <c r="M18" s="4">
        <f t="shared" si="4"/>
        <v>1.0451080781963136</v>
      </c>
      <c r="N18" s="3"/>
    </row>
    <row r="19" spans="1:14" x14ac:dyDescent="0.2">
      <c r="A19" s="4">
        <f>-1/(INT((ROW()+1)/2)+COLUMN()-4)</f>
        <v>-0.14285714285714285</v>
      </c>
      <c r="B19" s="4">
        <f t="shared" si="5"/>
        <v>-0.125</v>
      </c>
      <c r="C19" s="4">
        <f t="shared" si="5"/>
        <v>-0.1111111111111111</v>
      </c>
      <c r="D19" s="4">
        <f t="shared" si="5"/>
        <v>-0.1</v>
      </c>
      <c r="E19" s="4">
        <f t="shared" si="5"/>
        <v>-9.0909090909090912E-2</v>
      </c>
      <c r="F19" s="4">
        <f t="shared" si="5"/>
        <v>-8.3333333333333329E-2</v>
      </c>
      <c r="G19" s="4">
        <f t="shared" si="5"/>
        <v>-7.6923076923076927E-2</v>
      </c>
      <c r="H19" s="4">
        <f t="shared" si="5"/>
        <v>-7.1428571428571425E-2</v>
      </c>
      <c r="I19" s="4">
        <f t="shared" si="5"/>
        <v>-6.6666666666666666E-2</v>
      </c>
      <c r="J19" s="4">
        <f t="shared" si="5"/>
        <v>-6.25E-2</v>
      </c>
      <c r="K19" s="4">
        <f t="shared" si="5"/>
        <v>-5.8823529411764705E-2</v>
      </c>
      <c r="L19" s="4">
        <f t="shared" si="5"/>
        <v>-5.5555555555555552E-2</v>
      </c>
      <c r="M19" s="4">
        <f t="shared" si="4"/>
        <v>-1.0451080781963136</v>
      </c>
      <c r="N19" s="3"/>
    </row>
    <row r="20" spans="1:14" x14ac:dyDescent="0.2">
      <c r="A20" s="4">
        <f>1/(INT((ROW()+1)/2)+COLUMN()-3)</f>
        <v>0.125</v>
      </c>
      <c r="B20" s="4">
        <f t="shared" si="3"/>
        <v>0.1111111111111111</v>
      </c>
      <c r="C20" s="4">
        <f t="shared" si="3"/>
        <v>0.1</v>
      </c>
      <c r="D20" s="4">
        <f t="shared" si="3"/>
        <v>9.0909090909090912E-2</v>
      </c>
      <c r="E20" s="4">
        <f t="shared" si="3"/>
        <v>8.3333333333333329E-2</v>
      </c>
      <c r="F20" s="4">
        <f t="shared" si="3"/>
        <v>7.6923076923076927E-2</v>
      </c>
      <c r="G20" s="4">
        <f t="shared" si="3"/>
        <v>7.1428571428571425E-2</v>
      </c>
      <c r="H20" s="4">
        <f t="shared" si="3"/>
        <v>6.6666666666666666E-2</v>
      </c>
      <c r="I20" s="4">
        <f t="shared" si="3"/>
        <v>6.25E-2</v>
      </c>
      <c r="J20" s="4">
        <f t="shared" si="3"/>
        <v>5.8823529411764705E-2</v>
      </c>
      <c r="K20" s="4">
        <f t="shared" si="3"/>
        <v>5.5555555555555552E-2</v>
      </c>
      <c r="L20" s="4">
        <f t="shared" si="3"/>
        <v>5.2631578947368418E-2</v>
      </c>
      <c r="M20" s="4">
        <f t="shared" si="4"/>
        <v>0.95488251428653914</v>
      </c>
      <c r="N20" s="3"/>
    </row>
    <row r="21" spans="1:14" x14ac:dyDescent="0.2">
      <c r="A21" s="4">
        <f>-1/(INT((ROW()+1)/2)+COLUMN()-4)</f>
        <v>-0.125</v>
      </c>
      <c r="B21" s="4">
        <f t="shared" si="5"/>
        <v>-0.1111111111111111</v>
      </c>
      <c r="C21" s="4">
        <f t="shared" si="5"/>
        <v>-0.1</v>
      </c>
      <c r="D21" s="4">
        <f t="shared" si="5"/>
        <v>-9.0909090909090912E-2</v>
      </c>
      <c r="E21" s="4">
        <f t="shared" si="5"/>
        <v>-8.3333333333333329E-2</v>
      </c>
      <c r="F21" s="4">
        <f t="shared" si="5"/>
        <v>-7.6923076923076927E-2</v>
      </c>
      <c r="G21" s="4">
        <f t="shared" si="5"/>
        <v>-7.1428571428571425E-2</v>
      </c>
      <c r="H21" s="4">
        <f t="shared" si="5"/>
        <v>-6.6666666666666666E-2</v>
      </c>
      <c r="I21" s="4">
        <f t="shared" si="5"/>
        <v>-6.25E-2</v>
      </c>
      <c r="J21" s="4">
        <f t="shared" si="5"/>
        <v>-5.8823529411764705E-2</v>
      </c>
      <c r="K21" s="4">
        <f t="shared" si="5"/>
        <v>-5.5555555555555552E-2</v>
      </c>
      <c r="L21" s="4">
        <f t="shared" si="5"/>
        <v>-5.2631578947368418E-2</v>
      </c>
      <c r="M21" s="4">
        <f t="shared" si="4"/>
        <v>-0.95488251428653914</v>
      </c>
      <c r="N21" s="3"/>
    </row>
    <row r="22" spans="1:14" x14ac:dyDescent="0.2">
      <c r="A22" s="4">
        <f>1/(INT((ROW()+1)/2)+COLUMN()-3)</f>
        <v>0.1111111111111111</v>
      </c>
      <c r="B22" s="4">
        <f t="shared" si="3"/>
        <v>0.1</v>
      </c>
      <c r="C22" s="4">
        <f t="shared" si="3"/>
        <v>9.0909090909090912E-2</v>
      </c>
      <c r="D22" s="4">
        <f t="shared" si="3"/>
        <v>8.3333333333333329E-2</v>
      </c>
      <c r="E22" s="4">
        <f t="shared" si="3"/>
        <v>7.6923076923076927E-2</v>
      </c>
      <c r="F22" s="4">
        <f t="shared" si="3"/>
        <v>7.1428571428571425E-2</v>
      </c>
      <c r="G22" s="4">
        <f t="shared" si="3"/>
        <v>6.6666666666666666E-2</v>
      </c>
      <c r="H22" s="4">
        <f t="shared" si="3"/>
        <v>6.25E-2</v>
      </c>
      <c r="I22" s="4">
        <f t="shared" si="3"/>
        <v>5.8823529411764705E-2</v>
      </c>
      <c r="J22" s="4">
        <f t="shared" si="3"/>
        <v>5.5555555555555552E-2</v>
      </c>
      <c r="K22" s="4">
        <f t="shared" si="3"/>
        <v>5.2631578947368418E-2</v>
      </c>
      <c r="L22" s="4">
        <f t="shared" si="3"/>
        <v>0.05</v>
      </c>
      <c r="M22" s="4">
        <f t="shared" si="4"/>
        <v>0.87988251428653919</v>
      </c>
      <c r="N22" s="3"/>
    </row>
    <row r="23" spans="1:14" x14ac:dyDescent="0.2">
      <c r="A23" s="4">
        <f>-1/(INT((ROW()+1)/2)+COLUMN()-4)</f>
        <v>-0.1111111111111111</v>
      </c>
      <c r="B23" s="4">
        <f t="shared" si="5"/>
        <v>-0.1</v>
      </c>
      <c r="C23" s="4">
        <f t="shared" si="5"/>
        <v>-9.0909090909090912E-2</v>
      </c>
      <c r="D23" s="4">
        <f t="shared" si="5"/>
        <v>-8.3333333333333329E-2</v>
      </c>
      <c r="E23" s="4">
        <f t="shared" si="5"/>
        <v>-7.6923076923076927E-2</v>
      </c>
      <c r="F23" s="4">
        <f t="shared" si="5"/>
        <v>-7.1428571428571425E-2</v>
      </c>
      <c r="G23" s="4">
        <f t="shared" si="5"/>
        <v>-6.6666666666666666E-2</v>
      </c>
      <c r="H23" s="4">
        <f t="shared" si="5"/>
        <v>-6.25E-2</v>
      </c>
      <c r="I23" s="4">
        <f t="shared" si="5"/>
        <v>-5.8823529411764705E-2</v>
      </c>
      <c r="J23" s="4">
        <f t="shared" si="5"/>
        <v>-5.5555555555555552E-2</v>
      </c>
      <c r="K23" s="4">
        <f t="shared" si="5"/>
        <v>-5.2631578947368418E-2</v>
      </c>
      <c r="L23" s="4">
        <f t="shared" si="5"/>
        <v>-0.05</v>
      </c>
      <c r="M23" s="4">
        <f t="shared" si="4"/>
        <v>-0.87988251428653919</v>
      </c>
      <c r="N23" s="3"/>
    </row>
    <row r="24" spans="1:14" x14ac:dyDescent="0.2">
      <c r="A24" s="4">
        <f>1/(INT((ROW()+1)/2)+COLUMN()-3)</f>
        <v>0.1</v>
      </c>
      <c r="B24" s="4">
        <f t="shared" si="3"/>
        <v>9.0909090909090912E-2</v>
      </c>
      <c r="C24" s="4">
        <f t="shared" si="3"/>
        <v>8.3333333333333329E-2</v>
      </c>
      <c r="D24" s="4">
        <f t="shared" si="3"/>
        <v>7.6923076923076927E-2</v>
      </c>
      <c r="E24" s="4">
        <f t="shared" si="3"/>
        <v>7.1428571428571425E-2</v>
      </c>
      <c r="F24" s="4">
        <f t="shared" si="3"/>
        <v>6.6666666666666666E-2</v>
      </c>
      <c r="G24" s="4">
        <f t="shared" si="3"/>
        <v>6.25E-2</v>
      </c>
      <c r="H24" s="4">
        <f t="shared" si="3"/>
        <v>5.8823529411764705E-2</v>
      </c>
      <c r="I24" s="4">
        <f t="shared" si="3"/>
        <v>5.5555555555555552E-2</v>
      </c>
      <c r="J24" s="4">
        <f t="shared" si="3"/>
        <v>5.2631578947368418E-2</v>
      </c>
      <c r="K24" s="4">
        <f t="shared" si="3"/>
        <v>0.05</v>
      </c>
      <c r="L24" s="4">
        <f t="shared" si="3"/>
        <v>4.7619047619047616E-2</v>
      </c>
      <c r="M24" s="4">
        <f t="shared" si="4"/>
        <v>0.8163904507944757</v>
      </c>
      <c r="N24" s="3"/>
    </row>
    <row r="25" spans="1:14" x14ac:dyDescent="0.2">
      <c r="A25" s="4">
        <f>-1/(INT((ROW()+1)/2)+COLUMN()-4)</f>
        <v>-0.1</v>
      </c>
      <c r="B25" s="4">
        <f t="shared" si="5"/>
        <v>-9.0909090909090912E-2</v>
      </c>
      <c r="C25" s="4">
        <f t="shared" si="5"/>
        <v>-8.3333333333333329E-2</v>
      </c>
      <c r="D25" s="4">
        <f t="shared" si="5"/>
        <v>-7.6923076923076927E-2</v>
      </c>
      <c r="E25" s="4">
        <f t="shared" si="5"/>
        <v>-7.1428571428571425E-2</v>
      </c>
      <c r="F25" s="4">
        <f t="shared" si="5"/>
        <v>-6.6666666666666666E-2</v>
      </c>
      <c r="G25" s="4">
        <f t="shared" si="5"/>
        <v>-6.25E-2</v>
      </c>
      <c r="H25" s="4">
        <f t="shared" si="5"/>
        <v>-5.8823529411764705E-2</v>
      </c>
      <c r="I25" s="4">
        <f t="shared" si="5"/>
        <v>-5.5555555555555552E-2</v>
      </c>
      <c r="J25" s="4">
        <f t="shared" si="5"/>
        <v>-5.2631578947368418E-2</v>
      </c>
      <c r="K25" s="4">
        <f t="shared" si="5"/>
        <v>-0.05</v>
      </c>
      <c r="L25" s="4">
        <f t="shared" si="5"/>
        <v>-4.7619047619047616E-2</v>
      </c>
      <c r="M25" s="4">
        <f t="shared" si="4"/>
        <v>-0.8163904507944757</v>
      </c>
      <c r="N25" s="3"/>
    </row>
    <row r="26" spans="1:14" x14ac:dyDescent="0.2">
      <c r="A26" s="4">
        <f>1/(INT((ROW()+1)/2)+COLUMN()-3)</f>
        <v>9.0909090909090912E-2</v>
      </c>
      <c r="B26" s="4">
        <f t="shared" si="3"/>
        <v>8.3333333333333329E-2</v>
      </c>
      <c r="C26" s="4">
        <f t="shared" si="3"/>
        <v>7.6923076923076927E-2</v>
      </c>
      <c r="D26" s="4">
        <f t="shared" si="3"/>
        <v>7.1428571428571425E-2</v>
      </c>
      <c r="E26" s="4">
        <f t="shared" si="3"/>
        <v>6.6666666666666666E-2</v>
      </c>
      <c r="F26" s="4">
        <f t="shared" si="3"/>
        <v>6.25E-2</v>
      </c>
      <c r="G26" s="4">
        <f t="shared" si="3"/>
        <v>5.8823529411764705E-2</v>
      </c>
      <c r="H26" s="4">
        <f t="shared" si="3"/>
        <v>5.5555555555555552E-2</v>
      </c>
      <c r="I26" s="4">
        <f t="shared" si="3"/>
        <v>5.2631578947368418E-2</v>
      </c>
      <c r="J26" s="4">
        <f t="shared" si="3"/>
        <v>0.05</v>
      </c>
      <c r="K26" s="4">
        <f t="shared" si="3"/>
        <v>4.7619047619047616E-2</v>
      </c>
      <c r="L26" s="4">
        <f t="shared" si="3"/>
        <v>4.5454545454545456E-2</v>
      </c>
      <c r="M26" s="4">
        <f t="shared" si="4"/>
        <v>0.76184499624902102</v>
      </c>
      <c r="N26" s="3"/>
    </row>
    <row r="27" spans="1:14" x14ac:dyDescent="0.2">
      <c r="A27" s="4">
        <f>-1/(INT((ROW()+1)/2)+COLUMN()-4)</f>
        <v>-9.0909090909090912E-2</v>
      </c>
      <c r="B27" s="4">
        <f t="shared" si="5"/>
        <v>-8.3333333333333329E-2</v>
      </c>
      <c r="C27" s="4">
        <f t="shared" si="5"/>
        <v>-7.6923076923076927E-2</v>
      </c>
      <c r="D27" s="4">
        <f t="shared" si="5"/>
        <v>-7.1428571428571425E-2</v>
      </c>
      <c r="E27" s="4">
        <f t="shared" si="5"/>
        <v>-6.6666666666666666E-2</v>
      </c>
      <c r="F27" s="4">
        <f t="shared" si="5"/>
        <v>-6.25E-2</v>
      </c>
      <c r="G27" s="4">
        <f t="shared" si="5"/>
        <v>-5.8823529411764705E-2</v>
      </c>
      <c r="H27" s="4">
        <f t="shared" si="5"/>
        <v>-5.5555555555555552E-2</v>
      </c>
      <c r="I27" s="4">
        <f t="shared" si="5"/>
        <v>-5.2631578947368418E-2</v>
      </c>
      <c r="J27" s="4">
        <f t="shared" si="5"/>
        <v>-0.05</v>
      </c>
      <c r="K27" s="4">
        <f t="shared" si="5"/>
        <v>-4.7619047619047616E-2</v>
      </c>
      <c r="L27" s="4">
        <f t="shared" si="5"/>
        <v>-4.5454545454545456E-2</v>
      </c>
      <c r="M27" s="4">
        <f t="shared" si="4"/>
        <v>-0.76184499624902102</v>
      </c>
      <c r="N27" s="3"/>
    </row>
    <row r="28" spans="1:14" x14ac:dyDescent="0.2">
      <c r="A28" s="4">
        <f>1/(INT((ROW()+1)/2)+COLUMN()-3)</f>
        <v>8.3333333333333329E-2</v>
      </c>
      <c r="B28" s="4">
        <f t="shared" ref="B28:L28" si="6">1/(INT((ROW()+1)/2)+COLUMN()-3)</f>
        <v>7.6923076923076927E-2</v>
      </c>
      <c r="C28" s="4">
        <f t="shared" si="6"/>
        <v>7.1428571428571425E-2</v>
      </c>
      <c r="D28" s="4">
        <f t="shared" si="6"/>
        <v>6.6666666666666666E-2</v>
      </c>
      <c r="E28" s="4">
        <f t="shared" si="6"/>
        <v>6.25E-2</v>
      </c>
      <c r="F28" s="4">
        <f t="shared" si="6"/>
        <v>5.8823529411764705E-2</v>
      </c>
      <c r="G28" s="4">
        <f t="shared" si="6"/>
        <v>5.5555555555555552E-2</v>
      </c>
      <c r="H28" s="4">
        <f t="shared" si="6"/>
        <v>5.2631578947368418E-2</v>
      </c>
      <c r="I28" s="4">
        <f t="shared" si="6"/>
        <v>0.05</v>
      </c>
      <c r="J28" s="4">
        <f t="shared" si="6"/>
        <v>4.7619047619047616E-2</v>
      </c>
      <c r="K28" s="4">
        <f t="shared" si="6"/>
        <v>4.5454545454545456E-2</v>
      </c>
      <c r="L28" s="4">
        <f t="shared" si="6"/>
        <v>4.3478260869565216E-2</v>
      </c>
      <c r="M28" s="4">
        <f t="shared" si="4"/>
        <v>0.71441416620949538</v>
      </c>
      <c r="N28" s="3"/>
    </row>
    <row r="29" spans="1:14" x14ac:dyDescent="0.2">
      <c r="A29" s="4">
        <f>-1/(INT((ROW()+1)/2)+COLUMN()-4)</f>
        <v>-8.3333333333333329E-2</v>
      </c>
      <c r="B29" s="4">
        <f t="shared" ref="B29:L29" si="7">-1/(INT((ROW()+1)/2)+COLUMN()-4)</f>
        <v>-7.6923076923076927E-2</v>
      </c>
      <c r="C29" s="4">
        <f t="shared" si="7"/>
        <v>-7.1428571428571425E-2</v>
      </c>
      <c r="D29" s="4">
        <f t="shared" si="7"/>
        <v>-6.6666666666666666E-2</v>
      </c>
      <c r="E29" s="4">
        <f t="shared" si="7"/>
        <v>-6.25E-2</v>
      </c>
      <c r="F29" s="4">
        <f t="shared" si="7"/>
        <v>-5.8823529411764705E-2</v>
      </c>
      <c r="G29" s="4">
        <f t="shared" si="7"/>
        <v>-5.5555555555555552E-2</v>
      </c>
      <c r="H29" s="4">
        <f t="shared" si="7"/>
        <v>-5.2631578947368418E-2</v>
      </c>
      <c r="I29" s="4">
        <f t="shared" si="7"/>
        <v>-0.05</v>
      </c>
      <c r="J29" s="4">
        <f t="shared" si="7"/>
        <v>-4.7619047619047616E-2</v>
      </c>
      <c r="K29" s="4">
        <f t="shared" si="7"/>
        <v>-4.5454545454545456E-2</v>
      </c>
      <c r="L29" s="4">
        <f t="shared" si="7"/>
        <v>-4.3478260869565216E-2</v>
      </c>
      <c r="M29" s="4">
        <f t="shared" si="4"/>
        <v>-0.71441416620949538</v>
      </c>
      <c r="N29" s="3"/>
    </row>
    <row r="30" spans="1:14" x14ac:dyDescent="0.2">
      <c r="A30" s="6">
        <v>0.99999999251425387</v>
      </c>
      <c r="B30" s="6">
        <v>1.000000912994379</v>
      </c>
      <c r="C30" s="6">
        <v>0.99997206257308779</v>
      </c>
      <c r="D30" s="6">
        <v>1.0003730692438324</v>
      </c>
      <c r="E30" s="6">
        <v>0.99730619576861368</v>
      </c>
      <c r="F30" s="6">
        <v>1.0116988497295465</v>
      </c>
      <c r="G30" s="6">
        <v>0.96770018022203896</v>
      </c>
      <c r="H30" s="6">
        <v>1.0580436925301722</v>
      </c>
      <c r="I30" s="6">
        <v>0.93234868129407988</v>
      </c>
      <c r="J30" s="6">
        <v>1.0493100058556228</v>
      </c>
      <c r="K30" s="6">
        <v>0.97957910520391633</v>
      </c>
      <c r="L30" s="6">
        <v>1.0036672563845239</v>
      </c>
      <c r="M30" s="6">
        <v>-16.145939989027884</v>
      </c>
      <c r="N30" s="7" t="s">
        <v>45</v>
      </c>
    </row>
    <row r="31" spans="1:14" x14ac:dyDescent="0.2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9">
        <v>34</v>
      </c>
      <c r="N31" s="7" t="s">
        <v>1</v>
      </c>
    </row>
    <row r="32" spans="1:14" x14ac:dyDescent="0.2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11">
        <f>MAX(MAX(A30:L30)-1,1-MIN(A30:L30))</f>
        <v>6.7651318705920116E-2</v>
      </c>
      <c r="N32" s="7" t="s">
        <v>2</v>
      </c>
    </row>
  </sheetData>
  <phoneticPr fontId="0" type="noConversion"/>
  <pageMargins left="0.70866141732283472" right="0.70866141732283472" top="0.74803149606299213" bottom="0.74803149606299213" header="0.31496062992125984" footer="0.31496062992125984"/>
  <pageSetup paperSize="9" scale="83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Line="0" autoPict="0" macro="[0]!Simplex.Simplex">
                <anchor moveWithCells="1" sizeWithCells="1">
                  <from>
                    <xdr:col>13</xdr:col>
                    <xdr:colOff>209550</xdr:colOff>
                    <xdr:row>1</xdr:row>
                    <xdr:rowOff>85725</xdr:rowOff>
                  </from>
                  <to>
                    <xdr:col>16</xdr:col>
                    <xdr:colOff>295275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10"/>
  <sheetViews>
    <sheetView workbookViewId="0">
      <selection activeCell="A12" sqref="A12:D42"/>
    </sheetView>
  </sheetViews>
  <sheetFormatPr defaultRowHeight="12.75" x14ac:dyDescent="0.2"/>
  <cols>
    <col min="1" max="3" width="14.5703125" customWidth="1"/>
    <col min="4" max="4" width="20" bestFit="1" customWidth="1"/>
  </cols>
  <sheetData>
    <row r="1" spans="1:4" x14ac:dyDescent="0.2">
      <c r="A1" s="36" t="s">
        <v>61</v>
      </c>
    </row>
    <row r="3" spans="1:4" x14ac:dyDescent="0.2">
      <c r="A3" s="42" t="s">
        <v>50</v>
      </c>
      <c r="B3" s="42" t="s">
        <v>2</v>
      </c>
      <c r="C3" s="42" t="s">
        <v>51</v>
      </c>
      <c r="D3" s="42" t="s">
        <v>63</v>
      </c>
    </row>
    <row r="4" spans="1:4" x14ac:dyDescent="0.2">
      <c r="A4" s="25">
        <v>7</v>
      </c>
      <c r="B4" s="43">
        <f>'LP Model (7)'!H22</f>
        <v>1.3094762274512561E-8</v>
      </c>
      <c r="C4" s="25">
        <f t="shared" ref="C4:C10" si="0">-INT(LOG10(B4))</f>
        <v>8</v>
      </c>
      <c r="D4" s="35" t="s">
        <v>62</v>
      </c>
    </row>
    <row r="5" spans="1:4" x14ac:dyDescent="0.2">
      <c r="A5" s="25">
        <v>8</v>
      </c>
      <c r="B5" s="43">
        <f>'LP Model (8)'!I24</f>
        <v>6.6013919597374127E-7</v>
      </c>
      <c r="C5" s="25">
        <f t="shared" si="0"/>
        <v>7</v>
      </c>
      <c r="D5" s="35" t="s">
        <v>62</v>
      </c>
    </row>
    <row r="6" spans="1:4" x14ac:dyDescent="0.2">
      <c r="A6" s="25">
        <v>9</v>
      </c>
      <c r="B6" s="43">
        <f>'LP Model (9)'!J26</f>
        <v>1.8407483583615658E-5</v>
      </c>
      <c r="C6" s="25">
        <f t="shared" si="0"/>
        <v>5</v>
      </c>
      <c r="D6" s="25">
        <v>6</v>
      </c>
    </row>
    <row r="7" spans="1:4" x14ac:dyDescent="0.2">
      <c r="A7" s="25">
        <v>10</v>
      </c>
      <c r="B7" s="43">
        <f>'LP Model (10)'!K28</f>
        <v>3.6140133743456371E-4</v>
      </c>
      <c r="C7" s="25">
        <f t="shared" si="0"/>
        <v>4</v>
      </c>
      <c r="D7" s="25">
        <v>4</v>
      </c>
    </row>
    <row r="8" spans="1:4" x14ac:dyDescent="0.2">
      <c r="A8" s="25">
        <v>11</v>
      </c>
      <c r="B8" s="43">
        <f>'LP Model (11)'!L30</f>
        <v>1.2037507683350546E-2</v>
      </c>
      <c r="C8" s="25">
        <f t="shared" si="0"/>
        <v>2</v>
      </c>
      <c r="D8" s="25">
        <v>1</v>
      </c>
    </row>
    <row r="9" spans="1:4" x14ac:dyDescent="0.2">
      <c r="A9" s="25">
        <v>12</v>
      </c>
      <c r="B9" s="43">
        <f>'LP Model (12)'!M32</f>
        <v>6.7651318705920116E-2</v>
      </c>
      <c r="C9" s="25">
        <f t="shared" si="0"/>
        <v>2</v>
      </c>
    </row>
    <row r="10" spans="1:4" x14ac:dyDescent="0.2">
      <c r="A10" s="25">
        <v>13</v>
      </c>
      <c r="B10" s="43">
        <f>'LP Model (13)'!N34</f>
        <v>1</v>
      </c>
      <c r="C10" s="25">
        <f t="shared" si="0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J22"/>
  <sheetViews>
    <sheetView workbookViewId="0">
      <selection activeCell="I20" sqref="I20"/>
    </sheetView>
  </sheetViews>
  <sheetFormatPr defaultRowHeight="12.75" x14ac:dyDescent="0.2"/>
  <cols>
    <col min="1" max="7" width="13.42578125" style="1" bestFit="1" customWidth="1"/>
    <col min="8" max="8" width="14.42578125" style="1" bestFit="1" customWidth="1"/>
    <col min="9" max="9" width="14.140625" style="2" bestFit="1" customWidth="1"/>
    <col min="10" max="16384" width="9.140625" style="1"/>
  </cols>
  <sheetData>
    <row r="1" spans="1:10" x14ac:dyDescent="0.2">
      <c r="A1" s="1" t="s">
        <v>18</v>
      </c>
      <c r="B1" s="1" t="s">
        <v>19</v>
      </c>
    </row>
    <row r="2" spans="1:10" x14ac:dyDescent="0.2">
      <c r="A2" s="3">
        <v>7</v>
      </c>
      <c r="B2" s="1" t="s">
        <v>4</v>
      </c>
    </row>
    <row r="3" spans="1:10" x14ac:dyDescent="0.2">
      <c r="A3" s="3">
        <v>14</v>
      </c>
      <c r="B3" s="1" t="s">
        <v>5</v>
      </c>
    </row>
    <row r="4" spans="1:10" x14ac:dyDescent="0.2">
      <c r="A4" s="2" t="s">
        <v>6</v>
      </c>
      <c r="B4" s="2" t="s">
        <v>7</v>
      </c>
      <c r="C4" s="2" t="s">
        <v>8</v>
      </c>
      <c r="D4" s="2" t="s">
        <v>9</v>
      </c>
      <c r="E4" s="2" t="s">
        <v>10</v>
      </c>
      <c r="F4" s="2" t="s">
        <v>11</v>
      </c>
      <c r="G4" s="2" t="s">
        <v>12</v>
      </c>
      <c r="H4" s="10" t="s">
        <v>3</v>
      </c>
    </row>
    <row r="5" spans="1:10" x14ac:dyDescent="0.2">
      <c r="A5" s="4">
        <v>-2.7178571428571425</v>
      </c>
      <c r="B5" s="4">
        <v>-1.8289682539682539</v>
      </c>
      <c r="C5" s="4">
        <v>-1.428968253968254</v>
      </c>
      <c r="D5" s="4">
        <v>-1.1865440115440116</v>
      </c>
      <c r="E5" s="4">
        <v>-1.0198773448773448</v>
      </c>
      <c r="F5" s="4">
        <v>-0.89680042180042197</v>
      </c>
      <c r="G5" s="4">
        <v>-0.80156232656232662</v>
      </c>
    </row>
    <row r="6" spans="1:10" x14ac:dyDescent="0.2">
      <c r="A6" s="4">
        <v>1</v>
      </c>
      <c r="B6" s="4">
        <v>0.5</v>
      </c>
      <c r="C6" s="4">
        <v>0.33333333333333331</v>
      </c>
      <c r="D6" s="4">
        <v>0.25</v>
      </c>
      <c r="E6" s="4">
        <v>0.2</v>
      </c>
      <c r="F6" s="4">
        <v>0.16666666666666666</v>
      </c>
      <c r="G6" s="4">
        <v>0.14285714285714285</v>
      </c>
      <c r="H6" s="4">
        <v>2.5928571428571425</v>
      </c>
      <c r="I6" s="3"/>
    </row>
    <row r="7" spans="1:10" x14ac:dyDescent="0.2">
      <c r="A7" s="4">
        <v>-1</v>
      </c>
      <c r="B7" s="4">
        <v>-0.5</v>
      </c>
      <c r="C7" s="4">
        <v>-0.33333333333333331</v>
      </c>
      <c r="D7" s="4">
        <v>-0.25</v>
      </c>
      <c r="E7" s="4">
        <v>-0.2</v>
      </c>
      <c r="F7" s="4">
        <v>-0.16666666666666666</v>
      </c>
      <c r="G7" s="4">
        <v>-0.14285714285714285</v>
      </c>
      <c r="H7" s="4">
        <v>-2.5928571428571425</v>
      </c>
      <c r="I7" s="3"/>
    </row>
    <row r="8" spans="1:10" x14ac:dyDescent="0.2">
      <c r="A8" s="4">
        <v>0.5</v>
      </c>
      <c r="B8" s="4">
        <v>0.33333333333333331</v>
      </c>
      <c r="C8" s="4">
        <v>0.25</v>
      </c>
      <c r="D8" s="4">
        <v>0.2</v>
      </c>
      <c r="E8" s="4">
        <v>0.16666666666666666</v>
      </c>
      <c r="F8" s="4">
        <v>0.14285714285714285</v>
      </c>
      <c r="G8" s="4">
        <v>0.125</v>
      </c>
      <c r="H8" s="4">
        <v>1.7178571428571427</v>
      </c>
      <c r="I8" s="3"/>
    </row>
    <row r="9" spans="1:10" x14ac:dyDescent="0.2">
      <c r="A9" s="4">
        <v>-0.5</v>
      </c>
      <c r="B9" s="4">
        <v>-0.33333333333333331</v>
      </c>
      <c r="C9" s="4">
        <v>-0.25</v>
      </c>
      <c r="D9" s="4">
        <v>-0.2</v>
      </c>
      <c r="E9" s="4">
        <v>-0.16666666666666666</v>
      </c>
      <c r="F9" s="4">
        <v>-0.14285714285714285</v>
      </c>
      <c r="G9" s="4">
        <v>-0.125</v>
      </c>
      <c r="H9" s="4">
        <v>-1.7178571428571427</v>
      </c>
      <c r="I9" s="3"/>
    </row>
    <row r="10" spans="1:10" x14ac:dyDescent="0.2">
      <c r="A10" s="4">
        <v>0.33333333333333331</v>
      </c>
      <c r="B10" s="4">
        <v>0.25</v>
      </c>
      <c r="C10" s="4">
        <v>0.2</v>
      </c>
      <c r="D10" s="4">
        <v>0.16666666666666666</v>
      </c>
      <c r="E10" s="4">
        <v>0.14285714285714285</v>
      </c>
      <c r="F10" s="4">
        <v>0.125</v>
      </c>
      <c r="G10" s="4">
        <v>0.1111111111111111</v>
      </c>
      <c r="H10" s="4">
        <v>1.3289682539682539</v>
      </c>
      <c r="I10" s="3"/>
    </row>
    <row r="11" spans="1:10" x14ac:dyDescent="0.2">
      <c r="A11" s="4">
        <v>-0.33333333333333331</v>
      </c>
      <c r="B11" s="4">
        <v>-0.25</v>
      </c>
      <c r="C11" s="4">
        <v>-0.2</v>
      </c>
      <c r="D11" s="4">
        <v>-0.16666666666666666</v>
      </c>
      <c r="E11" s="4">
        <v>-0.14285714285714285</v>
      </c>
      <c r="F11" s="4">
        <v>-0.125</v>
      </c>
      <c r="G11" s="4">
        <v>-0.1111111111111111</v>
      </c>
      <c r="H11" s="4">
        <v>-1.3289682539682539</v>
      </c>
      <c r="I11" s="3"/>
    </row>
    <row r="12" spans="1:10" x14ac:dyDescent="0.2">
      <c r="A12" s="4">
        <v>0.25</v>
      </c>
      <c r="B12" s="4">
        <v>0.2</v>
      </c>
      <c r="C12" s="4">
        <v>0.16666666666666666</v>
      </c>
      <c r="D12" s="4">
        <v>0.14285714285714285</v>
      </c>
      <c r="E12" s="4">
        <v>0.125</v>
      </c>
      <c r="F12" s="4">
        <v>0.1111111111111111</v>
      </c>
      <c r="G12" s="4">
        <v>0.1</v>
      </c>
      <c r="H12" s="4">
        <v>1.0956349206349207</v>
      </c>
      <c r="I12" s="3"/>
    </row>
    <row r="13" spans="1:10" x14ac:dyDescent="0.2">
      <c r="A13" s="4">
        <v>-0.25</v>
      </c>
      <c r="B13" s="4">
        <v>-0.2</v>
      </c>
      <c r="C13" s="4">
        <v>-0.16666666666666666</v>
      </c>
      <c r="D13" s="4">
        <v>-0.14285714285714285</v>
      </c>
      <c r="E13" s="4">
        <v>-0.125</v>
      </c>
      <c r="F13" s="4">
        <v>-0.1111111111111111</v>
      </c>
      <c r="G13" s="4">
        <v>-0.1</v>
      </c>
      <c r="H13" s="4">
        <v>-1.0956349206349207</v>
      </c>
      <c r="I13" s="3"/>
      <c r="J13" s="5"/>
    </row>
    <row r="14" spans="1:10" x14ac:dyDescent="0.2">
      <c r="A14" s="4">
        <v>0.2</v>
      </c>
      <c r="B14" s="4">
        <v>0.16666666666666666</v>
      </c>
      <c r="C14" s="4">
        <v>0.14285714285714285</v>
      </c>
      <c r="D14" s="4">
        <v>0.125</v>
      </c>
      <c r="E14" s="4">
        <v>0.1111111111111111</v>
      </c>
      <c r="F14" s="4">
        <v>0.1</v>
      </c>
      <c r="G14" s="4">
        <v>9.0909090909090912E-2</v>
      </c>
      <c r="H14" s="4">
        <v>0.93654401154401157</v>
      </c>
      <c r="I14" s="3"/>
    </row>
    <row r="15" spans="1:10" x14ac:dyDescent="0.2">
      <c r="A15" s="4">
        <v>-0.2</v>
      </c>
      <c r="B15" s="4">
        <v>-0.16666666666666666</v>
      </c>
      <c r="C15" s="4">
        <v>-0.14285714285714285</v>
      </c>
      <c r="D15" s="4">
        <v>-0.125</v>
      </c>
      <c r="E15" s="4">
        <v>-0.1111111111111111</v>
      </c>
      <c r="F15" s="4">
        <v>-0.1</v>
      </c>
      <c r="G15" s="4">
        <v>-9.0909090909090912E-2</v>
      </c>
      <c r="H15" s="4">
        <v>-0.93654401154401157</v>
      </c>
      <c r="I15" s="3"/>
    </row>
    <row r="16" spans="1:10" x14ac:dyDescent="0.2">
      <c r="A16" s="4">
        <v>0.16666666666666666</v>
      </c>
      <c r="B16" s="4">
        <v>0.14285714285714285</v>
      </c>
      <c r="C16" s="4">
        <v>0.125</v>
      </c>
      <c r="D16" s="4">
        <v>0.1111111111111111</v>
      </c>
      <c r="E16" s="4">
        <v>0.1</v>
      </c>
      <c r="F16" s="4">
        <v>9.0909090909090912E-2</v>
      </c>
      <c r="G16" s="4">
        <v>8.3333333333333329E-2</v>
      </c>
      <c r="H16" s="4">
        <v>0.81987734487734498</v>
      </c>
      <c r="I16" s="3"/>
    </row>
    <row r="17" spans="1:9" x14ac:dyDescent="0.2">
      <c r="A17" s="4">
        <v>-0.16666666666666666</v>
      </c>
      <c r="B17" s="4">
        <v>-0.14285714285714285</v>
      </c>
      <c r="C17" s="4">
        <v>-0.125</v>
      </c>
      <c r="D17" s="4">
        <v>-0.1111111111111111</v>
      </c>
      <c r="E17" s="4">
        <v>-0.1</v>
      </c>
      <c r="F17" s="4">
        <v>-9.0909090909090912E-2</v>
      </c>
      <c r="G17" s="4">
        <v>-8.3333333333333329E-2</v>
      </c>
      <c r="H17" s="4">
        <v>-0.81987734487734498</v>
      </c>
      <c r="I17" s="3"/>
    </row>
    <row r="18" spans="1:9" x14ac:dyDescent="0.2">
      <c r="A18" s="4">
        <v>0.14285714285714285</v>
      </c>
      <c r="B18" s="4">
        <v>0.125</v>
      </c>
      <c r="C18" s="4">
        <v>0.1111111111111111</v>
      </c>
      <c r="D18" s="4">
        <v>0.1</v>
      </c>
      <c r="E18" s="4">
        <v>9.0909090909090912E-2</v>
      </c>
      <c r="F18" s="4">
        <v>8.3333333333333329E-2</v>
      </c>
      <c r="G18" s="4">
        <v>7.6923076923076927E-2</v>
      </c>
      <c r="H18" s="4">
        <v>0.73013375513375522</v>
      </c>
      <c r="I18" s="3"/>
    </row>
    <row r="19" spans="1:9" x14ac:dyDescent="0.2">
      <c r="A19" s="4">
        <v>-0.14285714285714285</v>
      </c>
      <c r="B19" s="4">
        <v>-0.125</v>
      </c>
      <c r="C19" s="4">
        <v>-0.1111111111111111</v>
      </c>
      <c r="D19" s="4">
        <v>-0.1</v>
      </c>
      <c r="E19" s="4">
        <v>-9.0909090909090912E-2</v>
      </c>
      <c r="F19" s="4">
        <v>-8.3333333333333329E-2</v>
      </c>
      <c r="G19" s="4">
        <v>-7.6923076923076927E-2</v>
      </c>
      <c r="H19" s="4">
        <v>-0.73013375513375522</v>
      </c>
      <c r="I19" s="3"/>
    </row>
    <row r="20" spans="1:9" x14ac:dyDescent="0.2">
      <c r="A20" s="6">
        <v>0.9999999999952478</v>
      </c>
      <c r="B20" s="6">
        <v>1.0000000001898786</v>
      </c>
      <c r="C20" s="6">
        <v>0.99999999816787022</v>
      </c>
      <c r="D20" s="6">
        <v>1.0000000071332704</v>
      </c>
      <c r="E20" s="6">
        <v>0.99999998690523773</v>
      </c>
      <c r="F20" s="6">
        <v>1.0000000113284973</v>
      </c>
      <c r="G20" s="6">
        <v>0.99999999627652436</v>
      </c>
      <c r="H20" s="6">
        <v>-9.8805777555777574</v>
      </c>
      <c r="I20" s="7" t="s">
        <v>45</v>
      </c>
    </row>
    <row r="21" spans="1:9" x14ac:dyDescent="0.2">
      <c r="A21" s="8"/>
      <c r="B21" s="8"/>
      <c r="C21" s="8"/>
      <c r="D21" s="8"/>
      <c r="E21" s="8"/>
      <c r="F21" s="8"/>
      <c r="G21" s="8"/>
      <c r="H21" s="9">
        <v>17</v>
      </c>
      <c r="I21" s="7" t="s">
        <v>1</v>
      </c>
    </row>
    <row r="22" spans="1:9" x14ac:dyDescent="0.2">
      <c r="A22" s="8"/>
      <c r="B22" s="8"/>
      <c r="C22" s="8"/>
      <c r="D22" s="8"/>
      <c r="E22" s="8"/>
      <c r="F22" s="8"/>
      <c r="G22" s="8"/>
      <c r="H22" s="11">
        <v>1.3094762274512561E-8</v>
      </c>
      <c r="I22" s="7" t="s">
        <v>2</v>
      </c>
    </row>
  </sheetData>
  <pageMargins left="0.70866141732283472" right="0.70866141732283472" top="0.74803149606299213" bottom="0.74803149606299213" header="0.31496062992125984" footer="0.31496062992125984"/>
  <pageSetup paperSize="9" scale="83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K24"/>
  <sheetViews>
    <sheetView workbookViewId="0">
      <selection activeCell="J22" sqref="J22"/>
    </sheetView>
  </sheetViews>
  <sheetFormatPr defaultRowHeight="12.75" x14ac:dyDescent="0.2"/>
  <cols>
    <col min="1" max="8" width="13.42578125" style="1" bestFit="1" customWidth="1"/>
    <col min="9" max="9" width="14.42578125" style="1" bestFit="1" customWidth="1"/>
    <col min="10" max="10" width="14.140625" style="2" bestFit="1" customWidth="1"/>
    <col min="11" max="16384" width="9.140625" style="1"/>
  </cols>
  <sheetData>
    <row r="1" spans="1:11" x14ac:dyDescent="0.2">
      <c r="A1" s="1" t="s">
        <v>18</v>
      </c>
      <c r="B1" s="1" t="s">
        <v>19</v>
      </c>
    </row>
    <row r="2" spans="1:11" x14ac:dyDescent="0.2">
      <c r="A2" s="3">
        <v>8</v>
      </c>
      <c r="B2" s="1" t="s">
        <v>4</v>
      </c>
    </row>
    <row r="3" spans="1:11" x14ac:dyDescent="0.2">
      <c r="A3" s="3">
        <v>16</v>
      </c>
      <c r="B3" s="1" t="s">
        <v>5</v>
      </c>
    </row>
    <row r="4" spans="1:11" x14ac:dyDescent="0.2">
      <c r="A4" s="2" t="s">
        <v>6</v>
      </c>
      <c r="B4" s="2" t="s">
        <v>7</v>
      </c>
      <c r="C4" s="2" t="s">
        <v>8</v>
      </c>
      <c r="D4" s="2" t="s">
        <v>9</v>
      </c>
      <c r="E4" s="2" t="s">
        <v>10</v>
      </c>
      <c r="F4" s="2" t="s">
        <v>11</v>
      </c>
      <c r="G4" s="2" t="s">
        <v>12</v>
      </c>
      <c r="H4" s="2" t="s">
        <v>13</v>
      </c>
      <c r="I4" s="10" t="s">
        <v>3</v>
      </c>
    </row>
    <row r="5" spans="1:11" x14ac:dyDescent="0.2">
      <c r="A5" s="4">
        <v>-2.8289682539682537</v>
      </c>
      <c r="B5" s="4">
        <v>-1.928968253968254</v>
      </c>
      <c r="C5" s="4">
        <v>-1.5198773448773448</v>
      </c>
      <c r="D5" s="4">
        <v>-1.2698773448773448</v>
      </c>
      <c r="E5" s="4">
        <v>-1.0968004218004217</v>
      </c>
      <c r="F5" s="4">
        <v>-0.96822899322899336</v>
      </c>
      <c r="G5" s="4">
        <v>-0.86822899322899327</v>
      </c>
      <c r="H5" s="4">
        <v>-0.78787185037185048</v>
      </c>
    </row>
    <row r="6" spans="1:11" x14ac:dyDescent="0.2">
      <c r="A6" s="4">
        <v>1</v>
      </c>
      <c r="B6" s="4">
        <v>0.5</v>
      </c>
      <c r="C6" s="4">
        <v>0.33333333333333331</v>
      </c>
      <c r="D6" s="4">
        <v>0.25</v>
      </c>
      <c r="E6" s="4">
        <v>0.2</v>
      </c>
      <c r="F6" s="4">
        <v>0.16666666666666666</v>
      </c>
      <c r="G6" s="4">
        <v>0.14285714285714285</v>
      </c>
      <c r="H6" s="4">
        <v>0.125</v>
      </c>
      <c r="I6" s="4">
        <v>2.7178571428571425</v>
      </c>
      <c r="J6" s="3"/>
    </row>
    <row r="7" spans="1:11" x14ac:dyDescent="0.2">
      <c r="A7" s="4">
        <v>-1</v>
      </c>
      <c r="B7" s="4">
        <v>-0.5</v>
      </c>
      <c r="C7" s="4">
        <v>-0.33333333333333331</v>
      </c>
      <c r="D7" s="4">
        <v>-0.25</v>
      </c>
      <c r="E7" s="4">
        <v>-0.2</v>
      </c>
      <c r="F7" s="4">
        <v>-0.16666666666666666</v>
      </c>
      <c r="G7" s="4">
        <v>-0.14285714285714285</v>
      </c>
      <c r="H7" s="4">
        <v>-0.125</v>
      </c>
      <c r="I7" s="4">
        <v>-2.7178571428571425</v>
      </c>
      <c r="J7" s="3"/>
    </row>
    <row r="8" spans="1:11" x14ac:dyDescent="0.2">
      <c r="A8" s="4">
        <v>0.5</v>
      </c>
      <c r="B8" s="4">
        <v>0.33333333333333331</v>
      </c>
      <c r="C8" s="4">
        <v>0.25</v>
      </c>
      <c r="D8" s="4">
        <v>0.2</v>
      </c>
      <c r="E8" s="4">
        <v>0.16666666666666666</v>
      </c>
      <c r="F8" s="4">
        <v>0.14285714285714285</v>
      </c>
      <c r="G8" s="4">
        <v>0.125</v>
      </c>
      <c r="H8" s="4">
        <v>0.1111111111111111</v>
      </c>
      <c r="I8" s="4">
        <v>1.8289682539682539</v>
      </c>
      <c r="J8" s="3"/>
    </row>
    <row r="9" spans="1:11" x14ac:dyDescent="0.2">
      <c r="A9" s="4">
        <v>-0.5</v>
      </c>
      <c r="B9" s="4">
        <v>-0.33333333333333331</v>
      </c>
      <c r="C9" s="4">
        <v>-0.25</v>
      </c>
      <c r="D9" s="4">
        <v>-0.2</v>
      </c>
      <c r="E9" s="4">
        <v>-0.16666666666666666</v>
      </c>
      <c r="F9" s="4">
        <v>-0.14285714285714285</v>
      </c>
      <c r="G9" s="4">
        <v>-0.125</v>
      </c>
      <c r="H9" s="4">
        <v>-0.1111111111111111</v>
      </c>
      <c r="I9" s="4">
        <v>-1.8289682539682539</v>
      </c>
      <c r="J9" s="3"/>
    </row>
    <row r="10" spans="1:11" x14ac:dyDescent="0.2">
      <c r="A10" s="4">
        <v>0.33333333333333331</v>
      </c>
      <c r="B10" s="4">
        <v>0.25</v>
      </c>
      <c r="C10" s="4">
        <v>0.2</v>
      </c>
      <c r="D10" s="4">
        <v>0.16666666666666666</v>
      </c>
      <c r="E10" s="4">
        <v>0.14285714285714285</v>
      </c>
      <c r="F10" s="4">
        <v>0.125</v>
      </c>
      <c r="G10" s="4">
        <v>0.1111111111111111</v>
      </c>
      <c r="H10" s="4">
        <v>0.1</v>
      </c>
      <c r="I10" s="4">
        <v>1.428968253968254</v>
      </c>
      <c r="J10" s="3"/>
    </row>
    <row r="11" spans="1:11" x14ac:dyDescent="0.2">
      <c r="A11" s="4">
        <v>-0.33333333333333331</v>
      </c>
      <c r="B11" s="4">
        <v>-0.25</v>
      </c>
      <c r="C11" s="4">
        <v>-0.2</v>
      </c>
      <c r="D11" s="4">
        <v>-0.16666666666666666</v>
      </c>
      <c r="E11" s="4">
        <v>-0.14285714285714285</v>
      </c>
      <c r="F11" s="4">
        <v>-0.125</v>
      </c>
      <c r="G11" s="4">
        <v>-0.1111111111111111</v>
      </c>
      <c r="H11" s="4">
        <v>-0.1</v>
      </c>
      <c r="I11" s="4">
        <v>-1.428968253968254</v>
      </c>
      <c r="J11" s="3"/>
    </row>
    <row r="12" spans="1:11" x14ac:dyDescent="0.2">
      <c r="A12" s="4">
        <v>0.25</v>
      </c>
      <c r="B12" s="4">
        <v>0.2</v>
      </c>
      <c r="C12" s="4">
        <v>0.16666666666666666</v>
      </c>
      <c r="D12" s="4">
        <v>0.14285714285714285</v>
      </c>
      <c r="E12" s="4">
        <v>0.125</v>
      </c>
      <c r="F12" s="4">
        <v>0.1111111111111111</v>
      </c>
      <c r="G12" s="4">
        <v>0.1</v>
      </c>
      <c r="H12" s="4">
        <v>9.0909090909090912E-2</v>
      </c>
      <c r="I12" s="4">
        <v>1.1865440115440116</v>
      </c>
      <c r="J12" s="3"/>
    </row>
    <row r="13" spans="1:11" x14ac:dyDescent="0.2">
      <c r="A13" s="4">
        <v>-0.25</v>
      </c>
      <c r="B13" s="4">
        <v>-0.2</v>
      </c>
      <c r="C13" s="4">
        <v>-0.16666666666666666</v>
      </c>
      <c r="D13" s="4">
        <v>-0.14285714285714285</v>
      </c>
      <c r="E13" s="4">
        <v>-0.125</v>
      </c>
      <c r="F13" s="4">
        <v>-0.1111111111111111</v>
      </c>
      <c r="G13" s="4">
        <v>-0.1</v>
      </c>
      <c r="H13" s="4">
        <v>-9.0909090909090912E-2</v>
      </c>
      <c r="I13" s="4">
        <v>-1.1865440115440116</v>
      </c>
      <c r="J13" s="3"/>
    </row>
    <row r="14" spans="1:11" x14ac:dyDescent="0.2">
      <c r="A14" s="4">
        <v>0.2</v>
      </c>
      <c r="B14" s="4">
        <v>0.16666666666666666</v>
      </c>
      <c r="C14" s="4">
        <v>0.14285714285714285</v>
      </c>
      <c r="D14" s="4">
        <v>0.125</v>
      </c>
      <c r="E14" s="4">
        <v>0.1111111111111111</v>
      </c>
      <c r="F14" s="4">
        <v>0.1</v>
      </c>
      <c r="G14" s="4">
        <v>9.0909090909090912E-2</v>
      </c>
      <c r="H14" s="4">
        <v>8.3333333333333329E-2</v>
      </c>
      <c r="I14" s="4">
        <v>1.0198773448773448</v>
      </c>
      <c r="J14" s="3"/>
      <c r="K14" s="5"/>
    </row>
    <row r="15" spans="1:11" x14ac:dyDescent="0.2">
      <c r="A15" s="4">
        <v>-0.2</v>
      </c>
      <c r="B15" s="4">
        <v>-0.16666666666666666</v>
      </c>
      <c r="C15" s="4">
        <v>-0.14285714285714285</v>
      </c>
      <c r="D15" s="4">
        <v>-0.125</v>
      </c>
      <c r="E15" s="4">
        <v>-0.1111111111111111</v>
      </c>
      <c r="F15" s="4">
        <v>-0.1</v>
      </c>
      <c r="G15" s="4">
        <v>-9.0909090909090912E-2</v>
      </c>
      <c r="H15" s="4">
        <v>-8.3333333333333329E-2</v>
      </c>
      <c r="I15" s="4">
        <v>-1.0198773448773448</v>
      </c>
      <c r="J15" s="3"/>
    </row>
    <row r="16" spans="1:11" x14ac:dyDescent="0.2">
      <c r="A16" s="4">
        <v>0.16666666666666666</v>
      </c>
      <c r="B16" s="4">
        <v>0.14285714285714285</v>
      </c>
      <c r="C16" s="4">
        <v>0.125</v>
      </c>
      <c r="D16" s="4">
        <v>0.1111111111111111</v>
      </c>
      <c r="E16" s="4">
        <v>0.1</v>
      </c>
      <c r="F16" s="4">
        <v>9.0909090909090912E-2</v>
      </c>
      <c r="G16" s="4">
        <v>8.3333333333333329E-2</v>
      </c>
      <c r="H16" s="4">
        <v>7.6923076923076927E-2</v>
      </c>
      <c r="I16" s="4">
        <v>0.89680042180042197</v>
      </c>
      <c r="J16" s="3"/>
    </row>
    <row r="17" spans="1:10" x14ac:dyDescent="0.2">
      <c r="A17" s="4">
        <v>-0.16666666666666666</v>
      </c>
      <c r="B17" s="4">
        <v>-0.14285714285714285</v>
      </c>
      <c r="C17" s="4">
        <v>-0.125</v>
      </c>
      <c r="D17" s="4">
        <v>-0.1111111111111111</v>
      </c>
      <c r="E17" s="4">
        <v>-0.1</v>
      </c>
      <c r="F17" s="4">
        <v>-9.0909090909090912E-2</v>
      </c>
      <c r="G17" s="4">
        <v>-8.3333333333333329E-2</v>
      </c>
      <c r="H17" s="4">
        <v>-7.6923076923076927E-2</v>
      </c>
      <c r="I17" s="4">
        <v>-0.89680042180042197</v>
      </c>
      <c r="J17" s="3"/>
    </row>
    <row r="18" spans="1:10" x14ac:dyDescent="0.2">
      <c r="A18" s="4">
        <v>0.14285714285714285</v>
      </c>
      <c r="B18" s="4">
        <v>0.125</v>
      </c>
      <c r="C18" s="4">
        <v>0.1111111111111111</v>
      </c>
      <c r="D18" s="4">
        <v>0.1</v>
      </c>
      <c r="E18" s="4">
        <v>9.0909090909090912E-2</v>
      </c>
      <c r="F18" s="4">
        <v>8.3333333333333329E-2</v>
      </c>
      <c r="G18" s="4">
        <v>7.6923076923076927E-2</v>
      </c>
      <c r="H18" s="4">
        <v>7.1428571428571425E-2</v>
      </c>
      <c r="I18" s="4">
        <v>0.80156232656232662</v>
      </c>
      <c r="J18" s="3"/>
    </row>
    <row r="19" spans="1:10" x14ac:dyDescent="0.2">
      <c r="A19" s="4">
        <v>-0.14285714285714285</v>
      </c>
      <c r="B19" s="4">
        <v>-0.125</v>
      </c>
      <c r="C19" s="4">
        <v>-0.1111111111111111</v>
      </c>
      <c r="D19" s="4">
        <v>-0.1</v>
      </c>
      <c r="E19" s="4">
        <v>-9.0909090909090912E-2</v>
      </c>
      <c r="F19" s="4">
        <v>-8.3333333333333329E-2</v>
      </c>
      <c r="G19" s="4">
        <v>-7.6923076923076927E-2</v>
      </c>
      <c r="H19" s="4">
        <v>-7.1428571428571425E-2</v>
      </c>
      <c r="I19" s="4">
        <v>-0.80156232656232662</v>
      </c>
      <c r="J19" s="3"/>
    </row>
    <row r="20" spans="1:10" x14ac:dyDescent="0.2">
      <c r="A20" s="4">
        <v>0.125</v>
      </c>
      <c r="B20" s="4">
        <v>0.1111111111111111</v>
      </c>
      <c r="C20" s="4">
        <v>0.1</v>
      </c>
      <c r="D20" s="4">
        <v>9.0909090909090912E-2</v>
      </c>
      <c r="E20" s="4">
        <v>8.3333333333333329E-2</v>
      </c>
      <c r="F20" s="4">
        <v>7.6923076923076927E-2</v>
      </c>
      <c r="G20" s="4">
        <v>7.1428571428571425E-2</v>
      </c>
      <c r="H20" s="4">
        <v>6.6666666666666666E-2</v>
      </c>
      <c r="I20" s="4">
        <v>0.72537185037185048</v>
      </c>
      <c r="J20" s="3"/>
    </row>
    <row r="21" spans="1:10" x14ac:dyDescent="0.2">
      <c r="A21" s="4">
        <v>-0.125</v>
      </c>
      <c r="B21" s="4">
        <v>-0.1111111111111111</v>
      </c>
      <c r="C21" s="4">
        <v>-0.1</v>
      </c>
      <c r="D21" s="4">
        <v>-9.0909090909090912E-2</v>
      </c>
      <c r="E21" s="4">
        <v>-8.3333333333333329E-2</v>
      </c>
      <c r="F21" s="4">
        <v>-7.6923076923076927E-2</v>
      </c>
      <c r="G21" s="4">
        <v>-7.1428571428571425E-2</v>
      </c>
      <c r="H21" s="4">
        <v>-6.6666666666666666E-2</v>
      </c>
      <c r="I21" s="4">
        <v>-0.72537185037185048</v>
      </c>
      <c r="J21" s="3"/>
    </row>
    <row r="22" spans="1:10" x14ac:dyDescent="0.2">
      <c r="A22" s="6">
        <v>0.99999999995406597</v>
      </c>
      <c r="B22" s="6">
        <v>1.0000000024593183</v>
      </c>
      <c r="C22" s="6">
        <v>0.99999996791684687</v>
      </c>
      <c r="D22" s="6">
        <v>1.0000001734905475</v>
      </c>
      <c r="E22" s="6">
        <v>0.99999953321599278</v>
      </c>
      <c r="F22" s="6">
        <v>1.000000660139196</v>
      </c>
      <c r="G22" s="6">
        <v>0.99999953041317713</v>
      </c>
      <c r="H22" s="6">
        <v>1.000000132443656</v>
      </c>
      <c r="I22" s="6">
        <v>-11.268821456321456</v>
      </c>
      <c r="J22" s="7" t="s">
        <v>45</v>
      </c>
    </row>
    <row r="23" spans="1:10" x14ac:dyDescent="0.2">
      <c r="A23" s="8"/>
      <c r="B23" s="8"/>
      <c r="C23" s="8"/>
      <c r="D23" s="8"/>
      <c r="E23" s="8"/>
      <c r="F23" s="8"/>
      <c r="G23" s="8"/>
      <c r="H23" s="8"/>
      <c r="I23" s="9">
        <v>17</v>
      </c>
      <c r="J23" s="7" t="s">
        <v>1</v>
      </c>
    </row>
    <row r="24" spans="1:10" x14ac:dyDescent="0.2">
      <c r="A24" s="8"/>
      <c r="B24" s="8"/>
      <c r="C24" s="8"/>
      <c r="D24" s="8"/>
      <c r="E24" s="8"/>
      <c r="F24" s="8"/>
      <c r="G24" s="8"/>
      <c r="H24" s="8"/>
      <c r="I24" s="11">
        <v>6.6013919597374127E-7</v>
      </c>
      <c r="J24" s="7" t="s">
        <v>2</v>
      </c>
    </row>
  </sheetData>
  <pageMargins left="0.70866141732283472" right="0.70866141732283472" top="0.74803149606299213" bottom="0.74803149606299213" header="0.31496062992125984" footer="0.31496062992125984"/>
  <pageSetup paperSize="9" scale="83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K26"/>
  <sheetViews>
    <sheetView workbookViewId="0">
      <selection activeCell="K24" sqref="K24"/>
    </sheetView>
  </sheetViews>
  <sheetFormatPr defaultRowHeight="12.75" x14ac:dyDescent="0.2"/>
  <cols>
    <col min="1" max="9" width="13.42578125" style="5" bestFit="1" customWidth="1"/>
    <col min="10" max="10" width="14.42578125" style="5" bestFit="1" customWidth="1"/>
    <col min="11" max="11" width="14.140625" style="10" bestFit="1" customWidth="1"/>
    <col min="12" max="16384" width="9.140625" style="5"/>
  </cols>
  <sheetData>
    <row r="1" spans="1:11" x14ac:dyDescent="0.2">
      <c r="A1" s="22" t="s">
        <v>18</v>
      </c>
      <c r="B1" s="5" t="s">
        <v>19</v>
      </c>
      <c r="J1" s="10"/>
    </row>
    <row r="2" spans="1:11" x14ac:dyDescent="0.2">
      <c r="A2" s="21">
        <v>9</v>
      </c>
      <c r="B2" s="15" t="s">
        <v>4</v>
      </c>
      <c r="C2" s="15"/>
      <c r="D2" s="15"/>
      <c r="E2" s="15"/>
      <c r="F2" s="15"/>
      <c r="G2" s="15"/>
      <c r="H2" s="15"/>
      <c r="I2" s="15"/>
    </row>
    <row r="3" spans="1:11" x14ac:dyDescent="0.2">
      <c r="A3" s="21">
        <v>18</v>
      </c>
      <c r="B3" s="15" t="s">
        <v>5</v>
      </c>
      <c r="C3" s="15"/>
      <c r="D3" s="15"/>
      <c r="E3" s="15"/>
      <c r="F3" s="15"/>
      <c r="G3" s="15"/>
      <c r="H3" s="15"/>
      <c r="I3" s="15"/>
      <c r="J3" s="15"/>
    </row>
    <row r="4" spans="1:11" x14ac:dyDescent="0.2">
      <c r="A4" s="20" t="s">
        <v>6</v>
      </c>
      <c r="B4" s="20" t="s">
        <v>7</v>
      </c>
      <c r="C4" s="20" t="s">
        <v>8</v>
      </c>
      <c r="D4" s="20" t="s">
        <v>9</v>
      </c>
      <c r="E4" s="20" t="s">
        <v>10</v>
      </c>
      <c r="F4" s="20" t="s">
        <v>11</v>
      </c>
      <c r="G4" s="20" t="s">
        <v>12</v>
      </c>
      <c r="H4" s="20" t="s">
        <v>13</v>
      </c>
      <c r="I4" s="20" t="s">
        <v>14</v>
      </c>
      <c r="J4" s="20" t="s">
        <v>3</v>
      </c>
    </row>
    <row r="5" spans="1:11" x14ac:dyDescent="0.2">
      <c r="A5" s="16">
        <v>-2.9289682539682538</v>
      </c>
      <c r="B5" s="16">
        <v>-2.019877344877345</v>
      </c>
      <c r="C5" s="16">
        <v>-1.6032106782106781</v>
      </c>
      <c r="D5" s="16">
        <v>-1.3468004218004217</v>
      </c>
      <c r="E5" s="16">
        <v>-1.1682289932289931</v>
      </c>
      <c r="F5" s="16">
        <v>-1.03489565989566</v>
      </c>
      <c r="G5" s="16">
        <v>-0.93072899322899327</v>
      </c>
      <c r="H5" s="16">
        <v>-0.8466953797836152</v>
      </c>
      <c r="I5" s="16">
        <v>-0.77725093533917067</v>
      </c>
      <c r="J5" s="15"/>
    </row>
    <row r="6" spans="1:11" x14ac:dyDescent="0.2">
      <c r="A6" s="16">
        <v>1</v>
      </c>
      <c r="B6" s="16">
        <v>0.5</v>
      </c>
      <c r="C6" s="16">
        <v>0.33333333333333331</v>
      </c>
      <c r="D6" s="16">
        <v>0.25</v>
      </c>
      <c r="E6" s="16">
        <v>0.2</v>
      </c>
      <c r="F6" s="16">
        <v>0.16666666666666666</v>
      </c>
      <c r="G6" s="16">
        <v>0.14285714285714285</v>
      </c>
      <c r="H6" s="16">
        <v>0.125</v>
      </c>
      <c r="I6" s="16">
        <v>0.1111111111111111</v>
      </c>
      <c r="J6" s="16">
        <v>2.8289682539682537</v>
      </c>
      <c r="K6" s="17"/>
    </row>
    <row r="7" spans="1:11" x14ac:dyDescent="0.2">
      <c r="A7" s="16">
        <v>-1</v>
      </c>
      <c r="B7" s="16">
        <v>-0.5</v>
      </c>
      <c r="C7" s="16">
        <v>-0.33333333333333331</v>
      </c>
      <c r="D7" s="16">
        <v>-0.25</v>
      </c>
      <c r="E7" s="16">
        <v>-0.2</v>
      </c>
      <c r="F7" s="16">
        <v>-0.16666666666666666</v>
      </c>
      <c r="G7" s="16">
        <v>-0.14285714285714285</v>
      </c>
      <c r="H7" s="16">
        <v>-0.125</v>
      </c>
      <c r="I7" s="16">
        <v>-0.1111111111111111</v>
      </c>
      <c r="J7" s="16">
        <v>-2.8289682539682537</v>
      </c>
      <c r="K7" s="17"/>
    </row>
    <row r="8" spans="1:11" x14ac:dyDescent="0.2">
      <c r="A8" s="16">
        <v>0.5</v>
      </c>
      <c r="B8" s="16">
        <v>0.33333333333333331</v>
      </c>
      <c r="C8" s="16">
        <v>0.25</v>
      </c>
      <c r="D8" s="16">
        <v>0.2</v>
      </c>
      <c r="E8" s="16">
        <v>0.16666666666666666</v>
      </c>
      <c r="F8" s="16">
        <v>0.14285714285714285</v>
      </c>
      <c r="G8" s="16">
        <v>0.125</v>
      </c>
      <c r="H8" s="16">
        <v>0.1111111111111111</v>
      </c>
      <c r="I8" s="16">
        <v>0.1</v>
      </c>
      <c r="J8" s="16">
        <v>1.928968253968254</v>
      </c>
      <c r="K8" s="17"/>
    </row>
    <row r="9" spans="1:11" x14ac:dyDescent="0.2">
      <c r="A9" s="16">
        <v>-0.5</v>
      </c>
      <c r="B9" s="16">
        <v>-0.33333333333333331</v>
      </c>
      <c r="C9" s="16">
        <v>-0.25</v>
      </c>
      <c r="D9" s="16">
        <v>-0.2</v>
      </c>
      <c r="E9" s="16">
        <v>-0.16666666666666666</v>
      </c>
      <c r="F9" s="16">
        <v>-0.14285714285714285</v>
      </c>
      <c r="G9" s="16">
        <v>-0.125</v>
      </c>
      <c r="H9" s="16">
        <v>-0.1111111111111111</v>
      </c>
      <c r="I9" s="16">
        <v>-0.1</v>
      </c>
      <c r="J9" s="16">
        <v>-1.928968253968254</v>
      </c>
      <c r="K9" s="17"/>
    </row>
    <row r="10" spans="1:11" x14ac:dyDescent="0.2">
      <c r="A10" s="16">
        <v>0.33333333333333331</v>
      </c>
      <c r="B10" s="16">
        <v>0.25</v>
      </c>
      <c r="C10" s="16">
        <v>0.2</v>
      </c>
      <c r="D10" s="16">
        <v>0.16666666666666666</v>
      </c>
      <c r="E10" s="16">
        <v>0.14285714285714285</v>
      </c>
      <c r="F10" s="16">
        <v>0.125</v>
      </c>
      <c r="G10" s="16">
        <v>0.1111111111111111</v>
      </c>
      <c r="H10" s="16">
        <v>0.1</v>
      </c>
      <c r="I10" s="16">
        <v>9.0909090909090912E-2</v>
      </c>
      <c r="J10" s="16">
        <v>1.5198773448773448</v>
      </c>
      <c r="K10" s="17"/>
    </row>
    <row r="11" spans="1:11" x14ac:dyDescent="0.2">
      <c r="A11" s="16">
        <v>-0.33333333333333331</v>
      </c>
      <c r="B11" s="16">
        <v>-0.25</v>
      </c>
      <c r="C11" s="16">
        <v>-0.2</v>
      </c>
      <c r="D11" s="16">
        <v>-0.16666666666666666</v>
      </c>
      <c r="E11" s="16">
        <v>-0.14285714285714285</v>
      </c>
      <c r="F11" s="16">
        <v>-0.125</v>
      </c>
      <c r="G11" s="16">
        <v>-0.1111111111111111</v>
      </c>
      <c r="H11" s="16">
        <v>-0.1</v>
      </c>
      <c r="I11" s="16">
        <v>-9.0909090909090912E-2</v>
      </c>
      <c r="J11" s="16">
        <v>-1.5198773448773448</v>
      </c>
      <c r="K11" s="17"/>
    </row>
    <row r="12" spans="1:11" x14ac:dyDescent="0.2">
      <c r="A12" s="16">
        <v>0.25</v>
      </c>
      <c r="B12" s="16">
        <v>0.2</v>
      </c>
      <c r="C12" s="16">
        <v>0.16666666666666666</v>
      </c>
      <c r="D12" s="16">
        <v>0.14285714285714285</v>
      </c>
      <c r="E12" s="16">
        <v>0.125</v>
      </c>
      <c r="F12" s="16">
        <v>0.1111111111111111</v>
      </c>
      <c r="G12" s="16">
        <v>0.1</v>
      </c>
      <c r="H12" s="16">
        <v>9.0909090909090912E-2</v>
      </c>
      <c r="I12" s="16">
        <v>8.3333333333333329E-2</v>
      </c>
      <c r="J12" s="16">
        <v>1.2698773448773448</v>
      </c>
      <c r="K12" s="17"/>
    </row>
    <row r="13" spans="1:11" x14ac:dyDescent="0.2">
      <c r="A13" s="18">
        <v>-0.25</v>
      </c>
      <c r="B13" s="18">
        <v>-0.2</v>
      </c>
      <c r="C13" s="18">
        <v>-0.16666666666666666</v>
      </c>
      <c r="D13" s="18">
        <v>-0.14285714285714285</v>
      </c>
      <c r="E13" s="18">
        <v>-0.125</v>
      </c>
      <c r="F13" s="18">
        <v>-0.1111111111111111</v>
      </c>
      <c r="G13" s="18">
        <v>-0.1</v>
      </c>
      <c r="H13" s="18">
        <v>-9.0909090909090912E-2</v>
      </c>
      <c r="I13" s="18">
        <v>-8.3333333333333329E-2</v>
      </c>
      <c r="J13" s="18">
        <v>-1.2698773448773448</v>
      </c>
      <c r="K13" s="17"/>
    </row>
    <row r="14" spans="1:11" x14ac:dyDescent="0.2">
      <c r="A14" s="18">
        <v>0.2</v>
      </c>
      <c r="B14" s="18">
        <v>0.16666666666666666</v>
      </c>
      <c r="C14" s="18">
        <v>0.14285714285714285</v>
      </c>
      <c r="D14" s="18">
        <v>0.125</v>
      </c>
      <c r="E14" s="18">
        <v>0.1111111111111111</v>
      </c>
      <c r="F14" s="18">
        <v>0.1</v>
      </c>
      <c r="G14" s="18">
        <v>9.0909090909090912E-2</v>
      </c>
      <c r="H14" s="18">
        <v>8.3333333333333329E-2</v>
      </c>
      <c r="I14" s="18">
        <v>7.6923076923076927E-2</v>
      </c>
      <c r="J14" s="19">
        <v>1.0968004218004217</v>
      </c>
      <c r="K14" s="17"/>
    </row>
    <row r="15" spans="1:11" x14ac:dyDescent="0.2">
      <c r="A15" s="18">
        <v>-0.2</v>
      </c>
      <c r="B15" s="18">
        <v>-0.16666666666666666</v>
      </c>
      <c r="C15" s="18">
        <v>-0.14285714285714285</v>
      </c>
      <c r="D15" s="18">
        <v>-0.125</v>
      </c>
      <c r="E15" s="18">
        <v>-0.1111111111111111</v>
      </c>
      <c r="F15" s="18">
        <v>-0.1</v>
      </c>
      <c r="G15" s="18">
        <v>-9.0909090909090912E-2</v>
      </c>
      <c r="H15" s="18">
        <v>-8.3333333333333329E-2</v>
      </c>
      <c r="I15" s="18">
        <v>-7.6923076923076927E-2</v>
      </c>
      <c r="J15" s="18">
        <v>-1.0968004218004217</v>
      </c>
      <c r="K15" s="17"/>
    </row>
    <row r="16" spans="1:11" x14ac:dyDescent="0.2">
      <c r="A16" s="18">
        <v>0.16666666666666666</v>
      </c>
      <c r="B16" s="18">
        <v>0.14285714285714285</v>
      </c>
      <c r="C16" s="18">
        <v>0.125</v>
      </c>
      <c r="D16" s="18">
        <v>0.1111111111111111</v>
      </c>
      <c r="E16" s="18">
        <v>0.1</v>
      </c>
      <c r="F16" s="18">
        <v>9.0909090909090912E-2</v>
      </c>
      <c r="G16" s="18">
        <v>8.3333333333333329E-2</v>
      </c>
      <c r="H16" s="18">
        <v>7.6923076923076927E-2</v>
      </c>
      <c r="I16" s="18">
        <v>7.1428571428571425E-2</v>
      </c>
      <c r="J16" s="18">
        <v>0.96822899322899336</v>
      </c>
      <c r="K16" s="17"/>
    </row>
    <row r="17" spans="1:11" x14ac:dyDescent="0.2">
      <c r="A17" s="18">
        <v>-0.16666666666666666</v>
      </c>
      <c r="B17" s="18">
        <v>-0.14285714285714285</v>
      </c>
      <c r="C17" s="18">
        <v>-0.125</v>
      </c>
      <c r="D17" s="18">
        <v>-0.1111111111111111</v>
      </c>
      <c r="E17" s="18">
        <v>-0.1</v>
      </c>
      <c r="F17" s="18">
        <v>-9.0909090909090912E-2</v>
      </c>
      <c r="G17" s="18">
        <v>-8.3333333333333329E-2</v>
      </c>
      <c r="H17" s="18">
        <v>-7.6923076923076927E-2</v>
      </c>
      <c r="I17" s="18">
        <v>-7.1428571428571425E-2</v>
      </c>
      <c r="J17" s="18">
        <v>-0.96822899322899336</v>
      </c>
      <c r="K17" s="17"/>
    </row>
    <row r="18" spans="1:11" x14ac:dyDescent="0.2">
      <c r="A18" s="18">
        <v>0.14285714285714285</v>
      </c>
      <c r="B18" s="18">
        <v>0.125</v>
      </c>
      <c r="C18" s="18">
        <v>0.1111111111111111</v>
      </c>
      <c r="D18" s="18">
        <v>0.1</v>
      </c>
      <c r="E18" s="18">
        <v>9.0909090909090912E-2</v>
      </c>
      <c r="F18" s="18">
        <v>8.3333333333333329E-2</v>
      </c>
      <c r="G18" s="18">
        <v>7.6923076923076927E-2</v>
      </c>
      <c r="H18" s="18">
        <v>7.1428571428571425E-2</v>
      </c>
      <c r="I18" s="18">
        <v>6.6666666666666666E-2</v>
      </c>
      <c r="J18" s="18">
        <v>0.86822899322899327</v>
      </c>
      <c r="K18" s="17"/>
    </row>
    <row r="19" spans="1:11" x14ac:dyDescent="0.2">
      <c r="A19" s="18">
        <v>-0.14285714285714285</v>
      </c>
      <c r="B19" s="18">
        <v>-0.125</v>
      </c>
      <c r="C19" s="18">
        <v>-0.1111111111111111</v>
      </c>
      <c r="D19" s="18">
        <v>-0.1</v>
      </c>
      <c r="E19" s="18">
        <v>-9.0909090909090912E-2</v>
      </c>
      <c r="F19" s="18">
        <v>-8.3333333333333329E-2</v>
      </c>
      <c r="G19" s="18">
        <v>-7.6923076923076927E-2</v>
      </c>
      <c r="H19" s="18">
        <v>-7.1428571428571425E-2</v>
      </c>
      <c r="I19" s="18">
        <v>-6.6666666666666666E-2</v>
      </c>
      <c r="J19" s="18">
        <v>-0.86822899322899327</v>
      </c>
      <c r="K19" s="17"/>
    </row>
    <row r="20" spans="1:11" x14ac:dyDescent="0.2">
      <c r="A20" s="18">
        <v>0.125</v>
      </c>
      <c r="B20" s="18">
        <v>0.1111111111111111</v>
      </c>
      <c r="C20" s="18">
        <v>0.1</v>
      </c>
      <c r="D20" s="18">
        <v>9.0909090909090912E-2</v>
      </c>
      <c r="E20" s="18">
        <v>8.3333333333333329E-2</v>
      </c>
      <c r="F20" s="18">
        <v>7.6923076923076927E-2</v>
      </c>
      <c r="G20" s="18">
        <v>7.1428571428571425E-2</v>
      </c>
      <c r="H20" s="18">
        <v>6.6666666666666666E-2</v>
      </c>
      <c r="I20" s="18">
        <v>6.25E-2</v>
      </c>
      <c r="J20" s="18">
        <v>0.78787185037185048</v>
      </c>
      <c r="K20" s="17"/>
    </row>
    <row r="21" spans="1:11" x14ac:dyDescent="0.2">
      <c r="A21" s="18">
        <v>-0.125</v>
      </c>
      <c r="B21" s="18">
        <v>-0.1111111111111111</v>
      </c>
      <c r="C21" s="18">
        <v>-0.1</v>
      </c>
      <c r="D21" s="18">
        <v>-9.0909090909090912E-2</v>
      </c>
      <c r="E21" s="18">
        <v>-8.3333333333333329E-2</v>
      </c>
      <c r="F21" s="18">
        <v>-7.6923076923076927E-2</v>
      </c>
      <c r="G21" s="18">
        <v>-7.1428571428571425E-2</v>
      </c>
      <c r="H21" s="18">
        <v>-6.6666666666666666E-2</v>
      </c>
      <c r="I21" s="18">
        <v>-6.25E-2</v>
      </c>
      <c r="J21" s="18">
        <v>-0.78787185037185048</v>
      </c>
      <c r="K21" s="17"/>
    </row>
    <row r="22" spans="1:11" x14ac:dyDescent="0.2">
      <c r="A22" s="18">
        <v>0.1111111111111111</v>
      </c>
      <c r="B22" s="18">
        <v>0.1</v>
      </c>
      <c r="C22" s="18">
        <v>9.0909090909090912E-2</v>
      </c>
      <c r="D22" s="18">
        <v>8.3333333333333329E-2</v>
      </c>
      <c r="E22" s="18">
        <v>7.6923076923076927E-2</v>
      </c>
      <c r="F22" s="18">
        <v>7.1428571428571425E-2</v>
      </c>
      <c r="G22" s="18">
        <v>6.6666666666666666E-2</v>
      </c>
      <c r="H22" s="18">
        <v>6.25E-2</v>
      </c>
      <c r="I22" s="18">
        <v>5.8823529411764705E-2</v>
      </c>
      <c r="J22" s="18">
        <v>0.72169537978361509</v>
      </c>
      <c r="K22" s="17"/>
    </row>
    <row r="23" spans="1:11" x14ac:dyDescent="0.2">
      <c r="A23" s="18">
        <v>-0.1111111111111111</v>
      </c>
      <c r="B23" s="18">
        <v>-0.1</v>
      </c>
      <c r="C23" s="18">
        <v>-9.0909090909090912E-2</v>
      </c>
      <c r="D23" s="18">
        <v>-8.3333333333333329E-2</v>
      </c>
      <c r="E23" s="18">
        <v>-7.6923076923076927E-2</v>
      </c>
      <c r="F23" s="18">
        <v>-7.1428571428571425E-2</v>
      </c>
      <c r="G23" s="18">
        <v>-6.6666666666666666E-2</v>
      </c>
      <c r="H23" s="18">
        <v>-6.25E-2</v>
      </c>
      <c r="I23" s="18">
        <v>-5.8823529411764705E-2</v>
      </c>
      <c r="J23" s="18">
        <v>-0.72169537978361509</v>
      </c>
      <c r="K23" s="17"/>
    </row>
    <row r="24" spans="1:11" x14ac:dyDescent="0.2">
      <c r="A24" s="13">
        <v>0.99999999974028841</v>
      </c>
      <c r="B24" s="13">
        <v>1.0000000178562609</v>
      </c>
      <c r="C24" s="13">
        <v>0.99999969854721715</v>
      </c>
      <c r="D24" s="13">
        <v>1.0000021478860748</v>
      </c>
      <c r="E24" s="13">
        <v>0.99999213333398085</v>
      </c>
      <c r="F24" s="13">
        <v>1.0000160434525218</v>
      </c>
      <c r="G24" s="13">
        <v>0.99998159251641638</v>
      </c>
      <c r="H24" s="13">
        <v>1.0000111095601638</v>
      </c>
      <c r="I24" s="13">
        <v>0.99999725692837982</v>
      </c>
      <c r="J24" s="13">
        <v>-12.656656660333134</v>
      </c>
      <c r="K24" s="7" t="s">
        <v>45</v>
      </c>
    </row>
    <row r="25" spans="1:11" x14ac:dyDescent="0.2">
      <c r="A25" s="8"/>
      <c r="B25" s="8"/>
      <c r="C25" s="8"/>
      <c r="D25" s="8"/>
      <c r="E25" s="8"/>
      <c r="F25" s="8"/>
      <c r="G25" s="8"/>
      <c r="H25" s="8"/>
      <c r="I25" s="8"/>
      <c r="J25" s="9">
        <v>19</v>
      </c>
      <c r="K25" s="7" t="s">
        <v>1</v>
      </c>
    </row>
    <row r="26" spans="1:11" x14ac:dyDescent="0.2">
      <c r="A26" s="8"/>
      <c r="B26" s="8"/>
      <c r="C26" s="8"/>
      <c r="D26" s="8"/>
      <c r="E26" s="8"/>
      <c r="F26" s="8"/>
      <c r="G26" s="8"/>
      <c r="H26" s="8"/>
      <c r="I26" s="8"/>
      <c r="J26" s="14">
        <v>1.8407483583615658E-5</v>
      </c>
      <c r="K26" s="7" t="s">
        <v>2</v>
      </c>
    </row>
  </sheetData>
  <pageMargins left="0.70866141732283472" right="0.70866141732283472" top="0.74803149606299213" bottom="0.74803149606299213" header="0.31496062992125984" footer="0.31496062992125984"/>
  <pageSetup paperSize="9" scale="83" orientation="landscape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M28"/>
  <sheetViews>
    <sheetView workbookViewId="0">
      <selection activeCell="L26" sqref="L26"/>
    </sheetView>
  </sheetViews>
  <sheetFormatPr defaultRowHeight="12.75" x14ac:dyDescent="0.2"/>
  <cols>
    <col min="1" max="10" width="13.42578125" style="1" bestFit="1" customWidth="1"/>
    <col min="11" max="11" width="14.42578125" style="1" bestFit="1" customWidth="1"/>
    <col min="12" max="12" width="14.140625" style="2" bestFit="1" customWidth="1"/>
    <col min="13" max="16384" width="9.140625" style="1"/>
  </cols>
  <sheetData>
    <row r="1" spans="1:13" x14ac:dyDescent="0.2">
      <c r="A1" s="1" t="s">
        <v>18</v>
      </c>
      <c r="B1" s="1" t="s">
        <v>19</v>
      </c>
    </row>
    <row r="2" spans="1:13" x14ac:dyDescent="0.2">
      <c r="A2" s="3">
        <v>10</v>
      </c>
      <c r="B2" s="1" t="s">
        <v>4</v>
      </c>
    </row>
    <row r="3" spans="1:13" x14ac:dyDescent="0.2">
      <c r="A3" s="3">
        <v>20</v>
      </c>
      <c r="B3" s="1" t="s">
        <v>5</v>
      </c>
    </row>
    <row r="4" spans="1:13" x14ac:dyDescent="0.2">
      <c r="A4" s="2" t="s">
        <v>6</v>
      </c>
      <c r="B4" s="2" t="s">
        <v>7</v>
      </c>
      <c r="C4" s="2" t="s">
        <v>8</v>
      </c>
      <c r="D4" s="2" t="s">
        <v>9</v>
      </c>
      <c r="E4" s="2" t="s">
        <v>10</v>
      </c>
      <c r="F4" s="2" t="s">
        <v>11</v>
      </c>
      <c r="G4" s="2" t="s">
        <v>12</v>
      </c>
      <c r="H4" s="2" t="s">
        <v>13</v>
      </c>
      <c r="I4" s="2" t="s">
        <v>14</v>
      </c>
      <c r="J4" s="2" t="s">
        <v>15</v>
      </c>
      <c r="K4" s="10" t="s">
        <v>3</v>
      </c>
    </row>
    <row r="5" spans="1:13" x14ac:dyDescent="0.2">
      <c r="A5" s="4">
        <f t="shared" ref="A5:J5" si="0">SUMIF(A6:A25,"&lt;0")</f>
        <v>-2.9289682539682538</v>
      </c>
      <c r="B5" s="4">
        <f t="shared" si="0"/>
        <v>-2.019877344877345</v>
      </c>
      <c r="C5" s="4">
        <f t="shared" si="0"/>
        <v>-1.6032106782106781</v>
      </c>
      <c r="D5" s="4">
        <f t="shared" si="0"/>
        <v>-1.3468004218004217</v>
      </c>
      <c r="E5" s="4">
        <f t="shared" si="0"/>
        <v>-1.1682289932289931</v>
      </c>
      <c r="F5" s="4">
        <f t="shared" si="0"/>
        <v>-1.03489565989566</v>
      </c>
      <c r="G5" s="4">
        <f t="shared" si="0"/>
        <v>-0.93072899322899327</v>
      </c>
      <c r="H5" s="4">
        <f t="shared" si="0"/>
        <v>-0.8466953797836152</v>
      </c>
      <c r="I5" s="4">
        <f t="shared" si="0"/>
        <v>-0.77725093533917067</v>
      </c>
      <c r="J5" s="4">
        <f t="shared" si="0"/>
        <v>-0.71877140317542798</v>
      </c>
    </row>
    <row r="6" spans="1:13" x14ac:dyDescent="0.2">
      <c r="A6" s="4">
        <f>1/(INT((ROW()+1)/2)+COLUMN()-3)</f>
        <v>1</v>
      </c>
      <c r="B6" s="4">
        <f t="shared" ref="B6:J6" si="1">1/(INT((ROW()+1)/2)+COLUMN()-3)</f>
        <v>0.5</v>
      </c>
      <c r="C6" s="4">
        <f t="shared" si="1"/>
        <v>0.33333333333333331</v>
      </c>
      <c r="D6" s="4">
        <f t="shared" si="1"/>
        <v>0.25</v>
      </c>
      <c r="E6" s="4">
        <f t="shared" si="1"/>
        <v>0.2</v>
      </c>
      <c r="F6" s="4">
        <f t="shared" si="1"/>
        <v>0.16666666666666666</v>
      </c>
      <c r="G6" s="4">
        <f t="shared" si="1"/>
        <v>0.14285714285714285</v>
      </c>
      <c r="H6" s="4">
        <f t="shared" si="1"/>
        <v>0.125</v>
      </c>
      <c r="I6" s="4">
        <f t="shared" si="1"/>
        <v>0.1111111111111111</v>
      </c>
      <c r="J6" s="4">
        <f t="shared" si="1"/>
        <v>0.1</v>
      </c>
      <c r="K6" s="4">
        <f t="shared" ref="K6:K25" si="2">SUM(A6:J6)</f>
        <v>2.9289682539682538</v>
      </c>
      <c r="L6" s="3"/>
    </row>
    <row r="7" spans="1:13" x14ac:dyDescent="0.2">
      <c r="A7" s="4">
        <f>-1/(INT((ROW()+1)/2)+COLUMN()-4)</f>
        <v>-1</v>
      </c>
      <c r="B7" s="4">
        <f t="shared" ref="B7:J7" si="3">-1/(INT((ROW()+1)/2)+COLUMN()-4)</f>
        <v>-0.5</v>
      </c>
      <c r="C7" s="4">
        <f t="shared" si="3"/>
        <v>-0.33333333333333331</v>
      </c>
      <c r="D7" s="4">
        <f t="shared" si="3"/>
        <v>-0.25</v>
      </c>
      <c r="E7" s="4">
        <f t="shared" si="3"/>
        <v>-0.2</v>
      </c>
      <c r="F7" s="4">
        <f t="shared" si="3"/>
        <v>-0.16666666666666666</v>
      </c>
      <c r="G7" s="4">
        <f t="shared" si="3"/>
        <v>-0.14285714285714285</v>
      </c>
      <c r="H7" s="4">
        <f t="shared" si="3"/>
        <v>-0.125</v>
      </c>
      <c r="I7" s="4">
        <f t="shared" si="3"/>
        <v>-0.1111111111111111</v>
      </c>
      <c r="J7" s="4">
        <f t="shared" si="3"/>
        <v>-0.1</v>
      </c>
      <c r="K7" s="4">
        <f t="shared" si="2"/>
        <v>-2.9289682539682538</v>
      </c>
      <c r="L7" s="3"/>
    </row>
    <row r="8" spans="1:13" x14ac:dyDescent="0.2">
      <c r="A8" s="4">
        <f>1/(INT((ROW()+1)/2)+COLUMN()-3)</f>
        <v>0.5</v>
      </c>
      <c r="B8" s="4">
        <f t="shared" ref="B8:J8" si="4">1/(INT((ROW()+1)/2)+COLUMN()-3)</f>
        <v>0.33333333333333331</v>
      </c>
      <c r="C8" s="4">
        <f t="shared" si="4"/>
        <v>0.25</v>
      </c>
      <c r="D8" s="4">
        <f t="shared" si="4"/>
        <v>0.2</v>
      </c>
      <c r="E8" s="4">
        <f t="shared" si="4"/>
        <v>0.16666666666666666</v>
      </c>
      <c r="F8" s="4">
        <f t="shared" si="4"/>
        <v>0.14285714285714285</v>
      </c>
      <c r="G8" s="4">
        <f t="shared" si="4"/>
        <v>0.125</v>
      </c>
      <c r="H8" s="4">
        <f t="shared" si="4"/>
        <v>0.1111111111111111</v>
      </c>
      <c r="I8" s="4">
        <f t="shared" si="4"/>
        <v>0.1</v>
      </c>
      <c r="J8" s="4">
        <f t="shared" si="4"/>
        <v>9.0909090909090912E-2</v>
      </c>
      <c r="K8" s="4">
        <f t="shared" si="2"/>
        <v>2.019877344877345</v>
      </c>
      <c r="L8" s="3"/>
    </row>
    <row r="9" spans="1:13" x14ac:dyDescent="0.2">
      <c r="A9" s="4">
        <f>-1/(INT((ROW()+1)/2)+COLUMN()-4)</f>
        <v>-0.5</v>
      </c>
      <c r="B9" s="4">
        <f t="shared" ref="B9:J9" si="5">-1/(INT((ROW()+1)/2)+COLUMN()-4)</f>
        <v>-0.33333333333333331</v>
      </c>
      <c r="C9" s="4">
        <f t="shared" si="5"/>
        <v>-0.25</v>
      </c>
      <c r="D9" s="4">
        <f t="shared" si="5"/>
        <v>-0.2</v>
      </c>
      <c r="E9" s="4">
        <f t="shared" si="5"/>
        <v>-0.16666666666666666</v>
      </c>
      <c r="F9" s="4">
        <f t="shared" si="5"/>
        <v>-0.14285714285714285</v>
      </c>
      <c r="G9" s="4">
        <f t="shared" si="5"/>
        <v>-0.125</v>
      </c>
      <c r="H9" s="4">
        <f t="shared" si="5"/>
        <v>-0.1111111111111111</v>
      </c>
      <c r="I9" s="4">
        <f t="shared" si="5"/>
        <v>-0.1</v>
      </c>
      <c r="J9" s="4">
        <f t="shared" si="5"/>
        <v>-9.0909090909090912E-2</v>
      </c>
      <c r="K9" s="4">
        <f t="shared" si="2"/>
        <v>-2.019877344877345</v>
      </c>
      <c r="L9" s="3"/>
    </row>
    <row r="10" spans="1:13" x14ac:dyDescent="0.2">
      <c r="A10" s="4">
        <f>1/(INT((ROW()+1)/2)+COLUMN()-3)</f>
        <v>0.33333333333333331</v>
      </c>
      <c r="B10" s="4">
        <f t="shared" ref="B10:J10" si="6">1/(INT((ROW()+1)/2)+COLUMN()-3)</f>
        <v>0.25</v>
      </c>
      <c r="C10" s="4">
        <f t="shared" si="6"/>
        <v>0.2</v>
      </c>
      <c r="D10" s="4">
        <f t="shared" si="6"/>
        <v>0.16666666666666666</v>
      </c>
      <c r="E10" s="4">
        <f t="shared" si="6"/>
        <v>0.14285714285714285</v>
      </c>
      <c r="F10" s="4">
        <f t="shared" si="6"/>
        <v>0.125</v>
      </c>
      <c r="G10" s="4">
        <f t="shared" si="6"/>
        <v>0.1111111111111111</v>
      </c>
      <c r="H10" s="4">
        <f t="shared" si="6"/>
        <v>0.1</v>
      </c>
      <c r="I10" s="4">
        <f t="shared" si="6"/>
        <v>9.0909090909090912E-2</v>
      </c>
      <c r="J10" s="4">
        <f t="shared" si="6"/>
        <v>8.3333333333333329E-2</v>
      </c>
      <c r="K10" s="4">
        <f t="shared" si="2"/>
        <v>1.6032106782106781</v>
      </c>
      <c r="L10" s="3"/>
    </row>
    <row r="11" spans="1:13" x14ac:dyDescent="0.2">
      <c r="A11" s="4">
        <f>-1/(INT((ROW()+1)/2)+COLUMN()-4)</f>
        <v>-0.33333333333333331</v>
      </c>
      <c r="B11" s="4">
        <f t="shared" ref="B11:J11" si="7">-1/(INT((ROW()+1)/2)+COLUMN()-4)</f>
        <v>-0.25</v>
      </c>
      <c r="C11" s="4">
        <f t="shared" si="7"/>
        <v>-0.2</v>
      </c>
      <c r="D11" s="4">
        <f t="shared" si="7"/>
        <v>-0.16666666666666666</v>
      </c>
      <c r="E11" s="4">
        <f t="shared" si="7"/>
        <v>-0.14285714285714285</v>
      </c>
      <c r="F11" s="4">
        <f t="shared" si="7"/>
        <v>-0.125</v>
      </c>
      <c r="G11" s="4">
        <f t="shared" si="7"/>
        <v>-0.1111111111111111</v>
      </c>
      <c r="H11" s="4">
        <f t="shared" si="7"/>
        <v>-0.1</v>
      </c>
      <c r="I11" s="4">
        <f t="shared" si="7"/>
        <v>-9.0909090909090912E-2</v>
      </c>
      <c r="J11" s="4">
        <f t="shared" si="7"/>
        <v>-8.3333333333333329E-2</v>
      </c>
      <c r="K11" s="4">
        <f t="shared" si="2"/>
        <v>-1.6032106782106781</v>
      </c>
      <c r="L11" s="3"/>
    </row>
    <row r="12" spans="1:13" x14ac:dyDescent="0.2">
      <c r="A12" s="4">
        <f>1/(INT((ROW()+1)/2)+COLUMN()-3)</f>
        <v>0.25</v>
      </c>
      <c r="B12" s="4">
        <f t="shared" ref="B12:J12" si="8">1/(INT((ROW()+1)/2)+COLUMN()-3)</f>
        <v>0.2</v>
      </c>
      <c r="C12" s="4">
        <f t="shared" si="8"/>
        <v>0.16666666666666666</v>
      </c>
      <c r="D12" s="4">
        <f t="shared" si="8"/>
        <v>0.14285714285714285</v>
      </c>
      <c r="E12" s="4">
        <f t="shared" si="8"/>
        <v>0.125</v>
      </c>
      <c r="F12" s="4">
        <f t="shared" si="8"/>
        <v>0.1111111111111111</v>
      </c>
      <c r="G12" s="4">
        <f t="shared" si="8"/>
        <v>0.1</v>
      </c>
      <c r="H12" s="4">
        <f t="shared" si="8"/>
        <v>9.0909090909090912E-2</v>
      </c>
      <c r="I12" s="4">
        <f t="shared" si="8"/>
        <v>8.3333333333333329E-2</v>
      </c>
      <c r="J12" s="4">
        <f t="shared" si="8"/>
        <v>7.6923076923076927E-2</v>
      </c>
      <c r="K12" s="4">
        <f t="shared" si="2"/>
        <v>1.3468004218004217</v>
      </c>
      <c r="L12" s="3"/>
    </row>
    <row r="13" spans="1:13" x14ac:dyDescent="0.2">
      <c r="A13" s="4">
        <f>-1/(INT((ROW()+1)/2)+COLUMN()-4)</f>
        <v>-0.25</v>
      </c>
      <c r="B13" s="4">
        <f t="shared" ref="B13:J13" si="9">-1/(INT((ROW()+1)/2)+COLUMN()-4)</f>
        <v>-0.2</v>
      </c>
      <c r="C13" s="4">
        <f t="shared" si="9"/>
        <v>-0.16666666666666666</v>
      </c>
      <c r="D13" s="4">
        <f t="shared" si="9"/>
        <v>-0.14285714285714285</v>
      </c>
      <c r="E13" s="4">
        <f t="shared" si="9"/>
        <v>-0.125</v>
      </c>
      <c r="F13" s="4">
        <f t="shared" si="9"/>
        <v>-0.1111111111111111</v>
      </c>
      <c r="G13" s="4">
        <f t="shared" si="9"/>
        <v>-0.1</v>
      </c>
      <c r="H13" s="4">
        <f t="shared" si="9"/>
        <v>-9.0909090909090912E-2</v>
      </c>
      <c r="I13" s="4">
        <f t="shared" si="9"/>
        <v>-8.3333333333333329E-2</v>
      </c>
      <c r="J13" s="4">
        <f t="shared" si="9"/>
        <v>-7.6923076923076927E-2</v>
      </c>
      <c r="K13" s="4">
        <f t="shared" si="2"/>
        <v>-1.3468004218004217</v>
      </c>
      <c r="L13" s="3"/>
    </row>
    <row r="14" spans="1:13" x14ac:dyDescent="0.2">
      <c r="A14" s="4">
        <f>1/(INT((ROW()+1)/2)+COLUMN()-3)</f>
        <v>0.2</v>
      </c>
      <c r="B14" s="4">
        <f t="shared" ref="B14:J14" si="10">1/(INT((ROW()+1)/2)+COLUMN()-3)</f>
        <v>0.16666666666666666</v>
      </c>
      <c r="C14" s="4">
        <f t="shared" si="10"/>
        <v>0.14285714285714285</v>
      </c>
      <c r="D14" s="4">
        <f t="shared" si="10"/>
        <v>0.125</v>
      </c>
      <c r="E14" s="4">
        <f t="shared" si="10"/>
        <v>0.1111111111111111</v>
      </c>
      <c r="F14" s="4">
        <f t="shared" si="10"/>
        <v>0.1</v>
      </c>
      <c r="G14" s="4">
        <f t="shared" si="10"/>
        <v>9.0909090909090912E-2</v>
      </c>
      <c r="H14" s="4">
        <f t="shared" si="10"/>
        <v>8.3333333333333329E-2</v>
      </c>
      <c r="I14" s="4">
        <f t="shared" si="10"/>
        <v>7.6923076923076927E-2</v>
      </c>
      <c r="J14" s="4">
        <f t="shared" si="10"/>
        <v>7.1428571428571425E-2</v>
      </c>
      <c r="K14" s="4">
        <f t="shared" si="2"/>
        <v>1.1682289932289931</v>
      </c>
      <c r="L14" s="3"/>
    </row>
    <row r="15" spans="1:13" x14ac:dyDescent="0.2">
      <c r="A15" s="4">
        <f>-1/(INT((ROW()+1)/2)+COLUMN()-4)</f>
        <v>-0.2</v>
      </c>
      <c r="B15" s="4">
        <f t="shared" ref="B15:J15" si="11">-1/(INT((ROW()+1)/2)+COLUMN()-4)</f>
        <v>-0.16666666666666666</v>
      </c>
      <c r="C15" s="4">
        <f t="shared" si="11"/>
        <v>-0.14285714285714285</v>
      </c>
      <c r="D15" s="4">
        <f t="shared" si="11"/>
        <v>-0.125</v>
      </c>
      <c r="E15" s="4">
        <f t="shared" si="11"/>
        <v>-0.1111111111111111</v>
      </c>
      <c r="F15" s="4">
        <f t="shared" si="11"/>
        <v>-0.1</v>
      </c>
      <c r="G15" s="4">
        <f t="shared" si="11"/>
        <v>-9.0909090909090912E-2</v>
      </c>
      <c r="H15" s="4">
        <f t="shared" si="11"/>
        <v>-8.3333333333333329E-2</v>
      </c>
      <c r="I15" s="4">
        <f t="shared" si="11"/>
        <v>-7.6923076923076927E-2</v>
      </c>
      <c r="J15" s="4">
        <f t="shared" si="11"/>
        <v>-7.1428571428571425E-2</v>
      </c>
      <c r="K15" s="4">
        <f t="shared" si="2"/>
        <v>-1.1682289932289931</v>
      </c>
      <c r="L15" s="3"/>
    </row>
    <row r="16" spans="1:13" x14ac:dyDescent="0.2">
      <c r="A16" s="4">
        <f>1/(INT((ROW()+1)/2)+COLUMN()-3)</f>
        <v>0.16666666666666666</v>
      </c>
      <c r="B16" s="4">
        <f t="shared" ref="B16:J16" si="12">1/(INT((ROW()+1)/2)+COLUMN()-3)</f>
        <v>0.14285714285714285</v>
      </c>
      <c r="C16" s="4">
        <f t="shared" si="12"/>
        <v>0.125</v>
      </c>
      <c r="D16" s="4">
        <f t="shared" si="12"/>
        <v>0.1111111111111111</v>
      </c>
      <c r="E16" s="4">
        <f t="shared" si="12"/>
        <v>0.1</v>
      </c>
      <c r="F16" s="4">
        <f t="shared" si="12"/>
        <v>9.0909090909090912E-2</v>
      </c>
      <c r="G16" s="4">
        <f t="shared" si="12"/>
        <v>8.3333333333333329E-2</v>
      </c>
      <c r="H16" s="4">
        <f t="shared" si="12"/>
        <v>7.6923076923076927E-2</v>
      </c>
      <c r="I16" s="4">
        <f t="shared" si="12"/>
        <v>7.1428571428571425E-2</v>
      </c>
      <c r="J16" s="4">
        <f t="shared" si="12"/>
        <v>6.6666666666666666E-2</v>
      </c>
      <c r="K16" s="4">
        <f t="shared" si="2"/>
        <v>1.03489565989566</v>
      </c>
      <c r="L16" s="3"/>
      <c r="M16" s="5"/>
    </row>
    <row r="17" spans="1:12" x14ac:dyDescent="0.2">
      <c r="A17" s="4">
        <f>-1/(INT((ROW()+1)/2)+COLUMN()-4)</f>
        <v>-0.16666666666666666</v>
      </c>
      <c r="B17" s="4">
        <f t="shared" ref="B17:J17" si="13">-1/(INT((ROW()+1)/2)+COLUMN()-4)</f>
        <v>-0.14285714285714285</v>
      </c>
      <c r="C17" s="4">
        <f t="shared" si="13"/>
        <v>-0.125</v>
      </c>
      <c r="D17" s="4">
        <f t="shared" si="13"/>
        <v>-0.1111111111111111</v>
      </c>
      <c r="E17" s="4">
        <f t="shared" si="13"/>
        <v>-0.1</v>
      </c>
      <c r="F17" s="4">
        <f t="shared" si="13"/>
        <v>-9.0909090909090912E-2</v>
      </c>
      <c r="G17" s="4">
        <f t="shared" si="13"/>
        <v>-8.3333333333333329E-2</v>
      </c>
      <c r="H17" s="4">
        <f t="shared" si="13"/>
        <v>-7.6923076923076927E-2</v>
      </c>
      <c r="I17" s="4">
        <f t="shared" si="13"/>
        <v>-7.1428571428571425E-2</v>
      </c>
      <c r="J17" s="4">
        <f t="shared" si="13"/>
        <v>-6.6666666666666666E-2</v>
      </c>
      <c r="K17" s="4">
        <f t="shared" si="2"/>
        <v>-1.03489565989566</v>
      </c>
      <c r="L17" s="3"/>
    </row>
    <row r="18" spans="1:12" x14ac:dyDescent="0.2">
      <c r="A18" s="4">
        <f>1/(INT((ROW()+1)/2)+COLUMN()-3)</f>
        <v>0.14285714285714285</v>
      </c>
      <c r="B18" s="4">
        <f t="shared" ref="B18:J18" si="14">1/(INT((ROW()+1)/2)+COLUMN()-3)</f>
        <v>0.125</v>
      </c>
      <c r="C18" s="4">
        <f t="shared" si="14"/>
        <v>0.1111111111111111</v>
      </c>
      <c r="D18" s="4">
        <f t="shared" si="14"/>
        <v>0.1</v>
      </c>
      <c r="E18" s="4">
        <f t="shared" si="14"/>
        <v>9.0909090909090912E-2</v>
      </c>
      <c r="F18" s="4">
        <f t="shared" si="14"/>
        <v>8.3333333333333329E-2</v>
      </c>
      <c r="G18" s="4">
        <f t="shared" si="14"/>
        <v>7.6923076923076927E-2</v>
      </c>
      <c r="H18" s="4">
        <f t="shared" si="14"/>
        <v>7.1428571428571425E-2</v>
      </c>
      <c r="I18" s="4">
        <f t="shared" si="14"/>
        <v>6.6666666666666666E-2</v>
      </c>
      <c r="J18" s="4">
        <f t="shared" si="14"/>
        <v>6.25E-2</v>
      </c>
      <c r="K18" s="4">
        <f t="shared" si="2"/>
        <v>0.93072899322899327</v>
      </c>
      <c r="L18" s="3"/>
    </row>
    <row r="19" spans="1:12" x14ac:dyDescent="0.2">
      <c r="A19" s="4">
        <f>-1/(INT((ROW()+1)/2)+COLUMN()-4)</f>
        <v>-0.14285714285714285</v>
      </c>
      <c r="B19" s="4">
        <f t="shared" ref="B19:J19" si="15">-1/(INT((ROW()+1)/2)+COLUMN()-4)</f>
        <v>-0.125</v>
      </c>
      <c r="C19" s="4">
        <f t="shared" si="15"/>
        <v>-0.1111111111111111</v>
      </c>
      <c r="D19" s="4">
        <f t="shared" si="15"/>
        <v>-0.1</v>
      </c>
      <c r="E19" s="4">
        <f t="shared" si="15"/>
        <v>-9.0909090909090912E-2</v>
      </c>
      <c r="F19" s="4">
        <f t="shared" si="15"/>
        <v>-8.3333333333333329E-2</v>
      </c>
      <c r="G19" s="4">
        <f t="shared" si="15"/>
        <v>-7.6923076923076927E-2</v>
      </c>
      <c r="H19" s="4">
        <f t="shared" si="15"/>
        <v>-7.1428571428571425E-2</v>
      </c>
      <c r="I19" s="4">
        <f t="shared" si="15"/>
        <v>-6.6666666666666666E-2</v>
      </c>
      <c r="J19" s="4">
        <f t="shared" si="15"/>
        <v>-6.25E-2</v>
      </c>
      <c r="K19" s="4">
        <f t="shared" si="2"/>
        <v>-0.93072899322899327</v>
      </c>
      <c r="L19" s="3"/>
    </row>
    <row r="20" spans="1:12" x14ac:dyDescent="0.2">
      <c r="A20" s="4">
        <f>1/(INT((ROW()+1)/2)+COLUMN()-3)</f>
        <v>0.125</v>
      </c>
      <c r="B20" s="4">
        <f t="shared" ref="B20:J20" si="16">1/(INT((ROW()+1)/2)+COLUMN()-3)</f>
        <v>0.1111111111111111</v>
      </c>
      <c r="C20" s="4">
        <f t="shared" si="16"/>
        <v>0.1</v>
      </c>
      <c r="D20" s="4">
        <f t="shared" si="16"/>
        <v>9.0909090909090912E-2</v>
      </c>
      <c r="E20" s="4">
        <f t="shared" si="16"/>
        <v>8.3333333333333329E-2</v>
      </c>
      <c r="F20" s="4">
        <f t="shared" si="16"/>
        <v>7.6923076923076927E-2</v>
      </c>
      <c r="G20" s="4">
        <f t="shared" si="16"/>
        <v>7.1428571428571425E-2</v>
      </c>
      <c r="H20" s="4">
        <f t="shared" si="16"/>
        <v>6.6666666666666666E-2</v>
      </c>
      <c r="I20" s="4">
        <f t="shared" si="16"/>
        <v>6.25E-2</v>
      </c>
      <c r="J20" s="4">
        <f t="shared" si="16"/>
        <v>5.8823529411764705E-2</v>
      </c>
      <c r="K20" s="4">
        <f t="shared" si="2"/>
        <v>0.8466953797836152</v>
      </c>
      <c r="L20" s="3"/>
    </row>
    <row r="21" spans="1:12" x14ac:dyDescent="0.2">
      <c r="A21" s="4">
        <f>-1/(INT((ROW()+1)/2)+COLUMN()-4)</f>
        <v>-0.125</v>
      </c>
      <c r="B21" s="4">
        <f t="shared" ref="B21:J21" si="17">-1/(INT((ROW()+1)/2)+COLUMN()-4)</f>
        <v>-0.1111111111111111</v>
      </c>
      <c r="C21" s="4">
        <f t="shared" si="17"/>
        <v>-0.1</v>
      </c>
      <c r="D21" s="4">
        <f t="shared" si="17"/>
        <v>-9.0909090909090912E-2</v>
      </c>
      <c r="E21" s="4">
        <f t="shared" si="17"/>
        <v>-8.3333333333333329E-2</v>
      </c>
      <c r="F21" s="4">
        <f t="shared" si="17"/>
        <v>-7.6923076923076927E-2</v>
      </c>
      <c r="G21" s="4">
        <f t="shared" si="17"/>
        <v>-7.1428571428571425E-2</v>
      </c>
      <c r="H21" s="4">
        <f t="shared" si="17"/>
        <v>-6.6666666666666666E-2</v>
      </c>
      <c r="I21" s="4">
        <f t="shared" si="17"/>
        <v>-6.25E-2</v>
      </c>
      <c r="J21" s="4">
        <f t="shared" si="17"/>
        <v>-5.8823529411764705E-2</v>
      </c>
      <c r="K21" s="4">
        <f t="shared" si="2"/>
        <v>-0.8466953797836152</v>
      </c>
      <c r="L21" s="3"/>
    </row>
    <row r="22" spans="1:12" x14ac:dyDescent="0.2">
      <c r="A22" s="4">
        <f>1/(INT((ROW()+1)/2)+COLUMN()-3)</f>
        <v>0.1111111111111111</v>
      </c>
      <c r="B22" s="4">
        <f t="shared" ref="B22:J22" si="18">1/(INT((ROW()+1)/2)+COLUMN()-3)</f>
        <v>0.1</v>
      </c>
      <c r="C22" s="4">
        <f t="shared" si="18"/>
        <v>9.0909090909090912E-2</v>
      </c>
      <c r="D22" s="4">
        <f t="shared" si="18"/>
        <v>8.3333333333333329E-2</v>
      </c>
      <c r="E22" s="4">
        <f t="shared" si="18"/>
        <v>7.6923076923076927E-2</v>
      </c>
      <c r="F22" s="4">
        <f t="shared" si="18"/>
        <v>7.1428571428571425E-2</v>
      </c>
      <c r="G22" s="4">
        <f t="shared" si="18"/>
        <v>6.6666666666666666E-2</v>
      </c>
      <c r="H22" s="4">
        <f t="shared" si="18"/>
        <v>6.25E-2</v>
      </c>
      <c r="I22" s="4">
        <f t="shared" si="18"/>
        <v>5.8823529411764705E-2</v>
      </c>
      <c r="J22" s="4">
        <f t="shared" si="18"/>
        <v>5.5555555555555552E-2</v>
      </c>
      <c r="K22" s="4">
        <f t="shared" si="2"/>
        <v>0.77725093533917067</v>
      </c>
      <c r="L22" s="3"/>
    </row>
    <row r="23" spans="1:12" x14ac:dyDescent="0.2">
      <c r="A23" s="4">
        <f>-1/(INT((ROW()+1)/2)+COLUMN()-4)</f>
        <v>-0.1111111111111111</v>
      </c>
      <c r="B23" s="4">
        <f t="shared" ref="B23:J23" si="19">-1/(INT((ROW()+1)/2)+COLUMN()-4)</f>
        <v>-0.1</v>
      </c>
      <c r="C23" s="4">
        <f t="shared" si="19"/>
        <v>-9.0909090909090912E-2</v>
      </c>
      <c r="D23" s="4">
        <f t="shared" si="19"/>
        <v>-8.3333333333333329E-2</v>
      </c>
      <c r="E23" s="4">
        <f t="shared" si="19"/>
        <v>-7.6923076923076927E-2</v>
      </c>
      <c r="F23" s="4">
        <f t="shared" si="19"/>
        <v>-7.1428571428571425E-2</v>
      </c>
      <c r="G23" s="4">
        <f t="shared" si="19"/>
        <v>-6.6666666666666666E-2</v>
      </c>
      <c r="H23" s="4">
        <f t="shared" si="19"/>
        <v>-6.25E-2</v>
      </c>
      <c r="I23" s="4">
        <f t="shared" si="19"/>
        <v>-5.8823529411764705E-2</v>
      </c>
      <c r="J23" s="4">
        <f t="shared" si="19"/>
        <v>-5.5555555555555552E-2</v>
      </c>
      <c r="K23" s="4">
        <f t="shared" si="2"/>
        <v>-0.77725093533917067</v>
      </c>
      <c r="L23" s="3"/>
    </row>
    <row r="24" spans="1:12" x14ac:dyDescent="0.2">
      <c r="A24" s="4">
        <f>1/(INT((ROW()+1)/2)+COLUMN()-3)</f>
        <v>0.1</v>
      </c>
      <c r="B24" s="4">
        <f t="shared" ref="B24:J24" si="20">1/(INT((ROW()+1)/2)+COLUMN()-3)</f>
        <v>9.0909090909090912E-2</v>
      </c>
      <c r="C24" s="4">
        <f t="shared" si="20"/>
        <v>8.3333333333333329E-2</v>
      </c>
      <c r="D24" s="4">
        <f t="shared" si="20"/>
        <v>7.6923076923076927E-2</v>
      </c>
      <c r="E24" s="4">
        <f t="shared" si="20"/>
        <v>7.1428571428571425E-2</v>
      </c>
      <c r="F24" s="4">
        <f t="shared" si="20"/>
        <v>6.6666666666666666E-2</v>
      </c>
      <c r="G24" s="4">
        <f t="shared" si="20"/>
        <v>6.25E-2</v>
      </c>
      <c r="H24" s="4">
        <f t="shared" si="20"/>
        <v>5.8823529411764705E-2</v>
      </c>
      <c r="I24" s="4">
        <f t="shared" si="20"/>
        <v>5.5555555555555552E-2</v>
      </c>
      <c r="J24" s="4">
        <f t="shared" si="20"/>
        <v>5.2631578947368418E-2</v>
      </c>
      <c r="K24" s="4">
        <f t="shared" si="2"/>
        <v>0.71877140317542798</v>
      </c>
      <c r="L24" s="3"/>
    </row>
    <row r="25" spans="1:12" x14ac:dyDescent="0.2">
      <c r="A25" s="4">
        <f>-1/(INT((ROW()+1)/2)+COLUMN()-4)</f>
        <v>-0.1</v>
      </c>
      <c r="B25" s="4">
        <f t="shared" ref="B25:J25" si="21">-1/(INT((ROW()+1)/2)+COLUMN()-4)</f>
        <v>-9.0909090909090912E-2</v>
      </c>
      <c r="C25" s="4">
        <f t="shared" si="21"/>
        <v>-8.3333333333333329E-2</v>
      </c>
      <c r="D25" s="4">
        <f t="shared" si="21"/>
        <v>-7.6923076923076927E-2</v>
      </c>
      <c r="E25" s="4">
        <f t="shared" si="21"/>
        <v>-7.1428571428571425E-2</v>
      </c>
      <c r="F25" s="4">
        <f t="shared" si="21"/>
        <v>-6.6666666666666666E-2</v>
      </c>
      <c r="G25" s="4">
        <f t="shared" si="21"/>
        <v>-6.25E-2</v>
      </c>
      <c r="H25" s="4">
        <f t="shared" si="21"/>
        <v>-5.8823529411764705E-2</v>
      </c>
      <c r="I25" s="4">
        <f t="shared" si="21"/>
        <v>-5.5555555555555552E-2</v>
      </c>
      <c r="J25" s="4">
        <f t="shared" si="21"/>
        <v>-5.2631578947368418E-2</v>
      </c>
      <c r="K25" s="4">
        <f t="shared" si="2"/>
        <v>-0.71877140317542798</v>
      </c>
      <c r="L25" s="3"/>
    </row>
    <row r="26" spans="1:12" x14ac:dyDescent="0.2">
      <c r="A26" s="6">
        <v>0.99999999896428771</v>
      </c>
      <c r="B26" s="6">
        <v>1.0000000886731248</v>
      </c>
      <c r="C26" s="6">
        <v>0.9999981238413399</v>
      </c>
      <c r="D26" s="6">
        <v>1.0000169694396042</v>
      </c>
      <c r="E26" s="6">
        <v>0.99991938568700678</v>
      </c>
      <c r="F26" s="6">
        <v>1.0002208789528215</v>
      </c>
      <c r="G26" s="6">
        <v>0.99963859866256544</v>
      </c>
      <c r="H26" s="6">
        <v>1.0003484411844727</v>
      </c>
      <c r="I26" s="6">
        <v>0.99981743644934906</v>
      </c>
      <c r="J26" s="6">
        <v>1.0000400788265693</v>
      </c>
      <c r="K26" s="6">
        <v>-13.375428063508558</v>
      </c>
      <c r="L26" s="7" t="s">
        <v>45</v>
      </c>
    </row>
    <row r="27" spans="1:12" x14ac:dyDescent="0.2">
      <c r="A27" s="8"/>
      <c r="B27" s="8"/>
      <c r="C27" s="8"/>
      <c r="D27" s="8"/>
      <c r="E27" s="8"/>
      <c r="F27" s="8"/>
      <c r="G27" s="8"/>
      <c r="H27" s="8"/>
      <c r="I27" s="8"/>
      <c r="J27" s="8"/>
      <c r="K27" s="9">
        <v>19</v>
      </c>
      <c r="L27" s="7" t="s">
        <v>1</v>
      </c>
    </row>
    <row r="28" spans="1:12" x14ac:dyDescent="0.2">
      <c r="A28" s="8"/>
      <c r="B28" s="8"/>
      <c r="C28" s="8"/>
      <c r="D28" s="8"/>
      <c r="E28" s="8"/>
      <c r="F28" s="8"/>
      <c r="G28" s="8"/>
      <c r="H28" s="8"/>
      <c r="I28" s="8"/>
      <c r="J28" s="8"/>
      <c r="K28" s="11">
        <f>MAX(MAX(A26:J26)-1,1-MIN(A26:J26))</f>
        <v>3.6140133743456371E-4</v>
      </c>
      <c r="L28" s="7" t="s">
        <v>2</v>
      </c>
    </row>
  </sheetData>
  <pageMargins left="0.70866141732283472" right="0.70866141732283472" top="0.74803149606299213" bottom="0.74803149606299213" header="0.31496062992125984" footer="0.31496062992125984"/>
  <pageSetup paperSize="9" scale="83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4" name="Button 3">
              <controlPr defaultSize="0" print="0" autoFill="0" autoLine="0" autoPict="0" macro="[0]!Simplex.Simplex">
                <anchor moveWithCells="1" sizeWithCells="1">
                  <from>
                    <xdr:col>4</xdr:col>
                    <xdr:colOff>28575</xdr:colOff>
                    <xdr:row>0</xdr:row>
                    <xdr:rowOff>66675</xdr:rowOff>
                  </from>
                  <to>
                    <xdr:col>6</xdr:col>
                    <xdr:colOff>190500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N30"/>
  <sheetViews>
    <sheetView topLeftCell="A4" workbookViewId="0">
      <selection activeCell="M28" sqref="M28"/>
    </sheetView>
  </sheetViews>
  <sheetFormatPr defaultRowHeight="12.75" x14ac:dyDescent="0.2"/>
  <cols>
    <col min="1" max="11" width="13.42578125" style="1" bestFit="1" customWidth="1"/>
    <col min="12" max="12" width="14.42578125" style="1" bestFit="1" customWidth="1"/>
    <col min="13" max="13" width="14.140625" style="2" bestFit="1" customWidth="1"/>
    <col min="14" max="16384" width="9.140625" style="1"/>
  </cols>
  <sheetData>
    <row r="1" spans="1:13" x14ac:dyDescent="0.2">
      <c r="A1" s="1" t="s">
        <v>18</v>
      </c>
      <c r="B1" s="1" t="s">
        <v>19</v>
      </c>
    </row>
    <row r="2" spans="1:13" x14ac:dyDescent="0.2">
      <c r="A2" s="3">
        <v>11</v>
      </c>
      <c r="B2" s="1" t="s">
        <v>4</v>
      </c>
    </row>
    <row r="3" spans="1:13" x14ac:dyDescent="0.2">
      <c r="A3" s="3">
        <v>22</v>
      </c>
      <c r="B3" s="1" t="s">
        <v>5</v>
      </c>
    </row>
    <row r="4" spans="1:13" x14ac:dyDescent="0.2">
      <c r="A4" s="2" t="s">
        <v>6</v>
      </c>
      <c r="B4" s="2" t="s">
        <v>7</v>
      </c>
      <c r="C4" s="2" t="s">
        <v>8</v>
      </c>
      <c r="D4" s="2" t="s">
        <v>9</v>
      </c>
      <c r="E4" s="2" t="s">
        <v>10</v>
      </c>
      <c r="F4" s="2" t="s">
        <v>11</v>
      </c>
      <c r="G4" s="2" t="s">
        <v>12</v>
      </c>
      <c r="H4" s="2" t="s">
        <v>13</v>
      </c>
      <c r="I4" s="2" t="s">
        <v>14</v>
      </c>
      <c r="J4" s="2" t="s">
        <v>15</v>
      </c>
      <c r="K4" s="2" t="s">
        <v>16</v>
      </c>
      <c r="L4" s="10" t="s">
        <v>3</v>
      </c>
    </row>
    <row r="5" spans="1:13" x14ac:dyDescent="0.2">
      <c r="A5" s="4">
        <f t="shared" ref="A5:K5" si="0">SUMIF(A6:A27,"&lt;0")</f>
        <v>-3.0198773448773446</v>
      </c>
      <c r="B5" s="4">
        <f t="shared" si="0"/>
        <v>-2.1032106782106785</v>
      </c>
      <c r="C5" s="4">
        <f t="shared" si="0"/>
        <v>-1.680133755133755</v>
      </c>
      <c r="D5" s="4">
        <f t="shared" si="0"/>
        <v>-1.4182289932289931</v>
      </c>
      <c r="E5" s="4">
        <f t="shared" si="0"/>
        <v>-1.2348956598956597</v>
      </c>
      <c r="F5" s="4">
        <f t="shared" si="0"/>
        <v>-1.09739565989566</v>
      </c>
      <c r="G5" s="4">
        <f t="shared" si="0"/>
        <v>-0.98955252264075799</v>
      </c>
      <c r="H5" s="4">
        <f t="shared" si="0"/>
        <v>-0.90225093533917078</v>
      </c>
      <c r="I5" s="4">
        <f t="shared" si="0"/>
        <v>-0.82988251428653914</v>
      </c>
      <c r="J5" s="4">
        <f t="shared" si="0"/>
        <v>-0.76877140317542803</v>
      </c>
      <c r="K5" s="4">
        <f t="shared" si="0"/>
        <v>-0.71639045079447561</v>
      </c>
    </row>
    <row r="6" spans="1:13" x14ac:dyDescent="0.2">
      <c r="A6" s="4">
        <f>1/(INT((ROW()+1)/2)+COLUMN()-3)</f>
        <v>1</v>
      </c>
      <c r="B6" s="4">
        <f t="shared" ref="B6:K6" si="1">1/(INT((ROW()+1)/2)+COLUMN()-3)</f>
        <v>0.5</v>
      </c>
      <c r="C6" s="4">
        <f t="shared" si="1"/>
        <v>0.33333333333333331</v>
      </c>
      <c r="D6" s="4">
        <f t="shared" si="1"/>
        <v>0.25</v>
      </c>
      <c r="E6" s="4">
        <f t="shared" si="1"/>
        <v>0.2</v>
      </c>
      <c r="F6" s="4">
        <f t="shared" si="1"/>
        <v>0.16666666666666666</v>
      </c>
      <c r="G6" s="4">
        <f t="shared" si="1"/>
        <v>0.14285714285714285</v>
      </c>
      <c r="H6" s="4">
        <f t="shared" si="1"/>
        <v>0.125</v>
      </c>
      <c r="I6" s="4">
        <f t="shared" si="1"/>
        <v>0.1111111111111111</v>
      </c>
      <c r="J6" s="4">
        <f t="shared" si="1"/>
        <v>0.1</v>
      </c>
      <c r="K6" s="4">
        <f t="shared" si="1"/>
        <v>9.0909090909090912E-2</v>
      </c>
      <c r="L6" s="4">
        <f t="shared" ref="L6:L27" si="2">SUM(A6:K6)</f>
        <v>3.0198773448773446</v>
      </c>
      <c r="M6" s="3"/>
    </row>
    <row r="7" spans="1:13" x14ac:dyDescent="0.2">
      <c r="A7" s="4">
        <f>-1/(INT((ROW()+1)/2)+COLUMN()-4)</f>
        <v>-1</v>
      </c>
      <c r="B7" s="4">
        <f t="shared" ref="B7:K7" si="3">-1/(INT((ROW()+1)/2)+COLUMN()-4)</f>
        <v>-0.5</v>
      </c>
      <c r="C7" s="4">
        <f t="shared" si="3"/>
        <v>-0.33333333333333331</v>
      </c>
      <c r="D7" s="4">
        <f t="shared" si="3"/>
        <v>-0.25</v>
      </c>
      <c r="E7" s="4">
        <f t="shared" si="3"/>
        <v>-0.2</v>
      </c>
      <c r="F7" s="4">
        <f t="shared" si="3"/>
        <v>-0.16666666666666666</v>
      </c>
      <c r="G7" s="4">
        <f t="shared" si="3"/>
        <v>-0.14285714285714285</v>
      </c>
      <c r="H7" s="4">
        <f t="shared" si="3"/>
        <v>-0.125</v>
      </c>
      <c r="I7" s="4">
        <f t="shared" si="3"/>
        <v>-0.1111111111111111</v>
      </c>
      <c r="J7" s="4">
        <f t="shared" si="3"/>
        <v>-0.1</v>
      </c>
      <c r="K7" s="4">
        <f t="shared" si="3"/>
        <v>-9.0909090909090912E-2</v>
      </c>
      <c r="L7" s="4">
        <f t="shared" si="2"/>
        <v>-3.0198773448773446</v>
      </c>
      <c r="M7" s="3"/>
    </row>
    <row r="8" spans="1:13" x14ac:dyDescent="0.2">
      <c r="A8" s="4">
        <f>1/(INT((ROW()+1)/2)+COLUMN()-3)</f>
        <v>0.5</v>
      </c>
      <c r="B8" s="4">
        <f t="shared" ref="B8:K8" si="4">1/(INT((ROW()+1)/2)+COLUMN()-3)</f>
        <v>0.33333333333333331</v>
      </c>
      <c r="C8" s="4">
        <f t="shared" si="4"/>
        <v>0.25</v>
      </c>
      <c r="D8" s="4">
        <f t="shared" si="4"/>
        <v>0.2</v>
      </c>
      <c r="E8" s="4">
        <f t="shared" si="4"/>
        <v>0.16666666666666666</v>
      </c>
      <c r="F8" s="4">
        <f t="shared" si="4"/>
        <v>0.14285714285714285</v>
      </c>
      <c r="G8" s="4">
        <f t="shared" si="4"/>
        <v>0.125</v>
      </c>
      <c r="H8" s="4">
        <f t="shared" si="4"/>
        <v>0.1111111111111111</v>
      </c>
      <c r="I8" s="4">
        <f t="shared" si="4"/>
        <v>0.1</v>
      </c>
      <c r="J8" s="4">
        <f t="shared" si="4"/>
        <v>9.0909090909090912E-2</v>
      </c>
      <c r="K8" s="4">
        <f t="shared" si="4"/>
        <v>8.3333333333333329E-2</v>
      </c>
      <c r="L8" s="4">
        <f t="shared" si="2"/>
        <v>2.1032106782106785</v>
      </c>
      <c r="M8" s="3"/>
    </row>
    <row r="9" spans="1:13" x14ac:dyDescent="0.2">
      <c r="A9" s="4">
        <f>-1/(INT((ROW()+1)/2)+COLUMN()-4)</f>
        <v>-0.5</v>
      </c>
      <c r="B9" s="4">
        <f t="shared" ref="B9:K9" si="5">-1/(INT((ROW()+1)/2)+COLUMN()-4)</f>
        <v>-0.33333333333333331</v>
      </c>
      <c r="C9" s="4">
        <f t="shared" si="5"/>
        <v>-0.25</v>
      </c>
      <c r="D9" s="4">
        <f t="shared" si="5"/>
        <v>-0.2</v>
      </c>
      <c r="E9" s="4">
        <f t="shared" si="5"/>
        <v>-0.16666666666666666</v>
      </c>
      <c r="F9" s="4">
        <f t="shared" si="5"/>
        <v>-0.14285714285714285</v>
      </c>
      <c r="G9" s="4">
        <f t="shared" si="5"/>
        <v>-0.125</v>
      </c>
      <c r="H9" s="4">
        <f t="shared" si="5"/>
        <v>-0.1111111111111111</v>
      </c>
      <c r="I9" s="4">
        <f t="shared" si="5"/>
        <v>-0.1</v>
      </c>
      <c r="J9" s="4">
        <f t="shared" si="5"/>
        <v>-9.0909090909090912E-2</v>
      </c>
      <c r="K9" s="4">
        <f t="shared" si="5"/>
        <v>-8.3333333333333329E-2</v>
      </c>
      <c r="L9" s="4">
        <f t="shared" si="2"/>
        <v>-2.1032106782106785</v>
      </c>
      <c r="M9" s="3"/>
    </row>
    <row r="10" spans="1:13" x14ac:dyDescent="0.2">
      <c r="A10" s="4">
        <f>1/(INT((ROW()+1)/2)+COLUMN()-3)</f>
        <v>0.33333333333333331</v>
      </c>
      <c r="B10" s="4">
        <f t="shared" ref="B10:K10" si="6">1/(INT((ROW()+1)/2)+COLUMN()-3)</f>
        <v>0.25</v>
      </c>
      <c r="C10" s="4">
        <f t="shared" si="6"/>
        <v>0.2</v>
      </c>
      <c r="D10" s="4">
        <f t="shared" si="6"/>
        <v>0.16666666666666666</v>
      </c>
      <c r="E10" s="4">
        <f t="shared" si="6"/>
        <v>0.14285714285714285</v>
      </c>
      <c r="F10" s="4">
        <f t="shared" si="6"/>
        <v>0.125</v>
      </c>
      <c r="G10" s="4">
        <f t="shared" si="6"/>
        <v>0.1111111111111111</v>
      </c>
      <c r="H10" s="4">
        <f t="shared" si="6"/>
        <v>0.1</v>
      </c>
      <c r="I10" s="4">
        <f t="shared" si="6"/>
        <v>9.0909090909090912E-2</v>
      </c>
      <c r="J10" s="4">
        <f t="shared" si="6"/>
        <v>8.3333333333333329E-2</v>
      </c>
      <c r="K10" s="4">
        <f t="shared" si="6"/>
        <v>7.6923076923076927E-2</v>
      </c>
      <c r="L10" s="4">
        <f t="shared" si="2"/>
        <v>1.680133755133755</v>
      </c>
      <c r="M10" s="3"/>
    </row>
    <row r="11" spans="1:13" x14ac:dyDescent="0.2">
      <c r="A11" s="4">
        <f>-1/(INT((ROW()+1)/2)+COLUMN()-4)</f>
        <v>-0.33333333333333331</v>
      </c>
      <c r="B11" s="4">
        <f t="shared" ref="B11:K11" si="7">-1/(INT((ROW()+1)/2)+COLUMN()-4)</f>
        <v>-0.25</v>
      </c>
      <c r="C11" s="4">
        <f t="shared" si="7"/>
        <v>-0.2</v>
      </c>
      <c r="D11" s="4">
        <f t="shared" si="7"/>
        <v>-0.16666666666666666</v>
      </c>
      <c r="E11" s="4">
        <f t="shared" si="7"/>
        <v>-0.14285714285714285</v>
      </c>
      <c r="F11" s="4">
        <f t="shared" si="7"/>
        <v>-0.125</v>
      </c>
      <c r="G11" s="4">
        <f t="shared" si="7"/>
        <v>-0.1111111111111111</v>
      </c>
      <c r="H11" s="4">
        <f t="shared" si="7"/>
        <v>-0.1</v>
      </c>
      <c r="I11" s="4">
        <f t="shared" si="7"/>
        <v>-9.0909090909090912E-2</v>
      </c>
      <c r="J11" s="4">
        <f t="shared" si="7"/>
        <v>-8.3333333333333329E-2</v>
      </c>
      <c r="K11" s="4">
        <f t="shared" si="7"/>
        <v>-7.6923076923076927E-2</v>
      </c>
      <c r="L11" s="4">
        <f t="shared" si="2"/>
        <v>-1.680133755133755</v>
      </c>
      <c r="M11" s="3"/>
    </row>
    <row r="12" spans="1:13" x14ac:dyDescent="0.2">
      <c r="A12" s="4">
        <f>1/(INT((ROW()+1)/2)+COLUMN()-3)</f>
        <v>0.25</v>
      </c>
      <c r="B12" s="4">
        <f t="shared" ref="B12:K12" si="8">1/(INT((ROW()+1)/2)+COLUMN()-3)</f>
        <v>0.2</v>
      </c>
      <c r="C12" s="4">
        <f t="shared" si="8"/>
        <v>0.16666666666666666</v>
      </c>
      <c r="D12" s="4">
        <f t="shared" si="8"/>
        <v>0.14285714285714285</v>
      </c>
      <c r="E12" s="4">
        <f t="shared" si="8"/>
        <v>0.125</v>
      </c>
      <c r="F12" s="4">
        <f t="shared" si="8"/>
        <v>0.1111111111111111</v>
      </c>
      <c r="G12" s="4">
        <f t="shared" si="8"/>
        <v>0.1</v>
      </c>
      <c r="H12" s="4">
        <f t="shared" si="8"/>
        <v>9.0909090909090912E-2</v>
      </c>
      <c r="I12" s="4">
        <f t="shared" si="8"/>
        <v>8.3333333333333329E-2</v>
      </c>
      <c r="J12" s="4">
        <f t="shared" si="8"/>
        <v>7.6923076923076927E-2</v>
      </c>
      <c r="K12" s="4">
        <f t="shared" si="8"/>
        <v>7.1428571428571425E-2</v>
      </c>
      <c r="L12" s="4">
        <f t="shared" si="2"/>
        <v>1.4182289932289931</v>
      </c>
      <c r="M12" s="3"/>
    </row>
    <row r="13" spans="1:13" x14ac:dyDescent="0.2">
      <c r="A13" s="4">
        <f>-1/(INT((ROW()+1)/2)+COLUMN()-4)</f>
        <v>-0.25</v>
      </c>
      <c r="B13" s="4">
        <f t="shared" ref="B13:K13" si="9">-1/(INT((ROW()+1)/2)+COLUMN()-4)</f>
        <v>-0.2</v>
      </c>
      <c r="C13" s="4">
        <f t="shared" si="9"/>
        <v>-0.16666666666666666</v>
      </c>
      <c r="D13" s="4">
        <f t="shared" si="9"/>
        <v>-0.14285714285714285</v>
      </c>
      <c r="E13" s="4">
        <f t="shared" si="9"/>
        <v>-0.125</v>
      </c>
      <c r="F13" s="4">
        <f t="shared" si="9"/>
        <v>-0.1111111111111111</v>
      </c>
      <c r="G13" s="4">
        <f t="shared" si="9"/>
        <v>-0.1</v>
      </c>
      <c r="H13" s="4">
        <f t="shared" si="9"/>
        <v>-9.0909090909090912E-2</v>
      </c>
      <c r="I13" s="4">
        <f t="shared" si="9"/>
        <v>-8.3333333333333329E-2</v>
      </c>
      <c r="J13" s="4">
        <f t="shared" si="9"/>
        <v>-7.6923076923076927E-2</v>
      </c>
      <c r="K13" s="4">
        <f t="shared" si="9"/>
        <v>-7.1428571428571425E-2</v>
      </c>
      <c r="L13" s="4">
        <f t="shared" si="2"/>
        <v>-1.4182289932289931</v>
      </c>
      <c r="M13" s="3"/>
    </row>
    <row r="14" spans="1:13" x14ac:dyDescent="0.2">
      <c r="A14" s="4">
        <f>1/(INT((ROW()+1)/2)+COLUMN()-3)</f>
        <v>0.2</v>
      </c>
      <c r="B14" s="4">
        <f t="shared" ref="B14:K14" si="10">1/(INT((ROW()+1)/2)+COLUMN()-3)</f>
        <v>0.16666666666666666</v>
      </c>
      <c r="C14" s="4">
        <f t="shared" si="10"/>
        <v>0.14285714285714285</v>
      </c>
      <c r="D14" s="4">
        <f t="shared" si="10"/>
        <v>0.125</v>
      </c>
      <c r="E14" s="4">
        <f t="shared" si="10"/>
        <v>0.1111111111111111</v>
      </c>
      <c r="F14" s="4">
        <f t="shared" si="10"/>
        <v>0.1</v>
      </c>
      <c r="G14" s="4">
        <f t="shared" si="10"/>
        <v>9.0909090909090912E-2</v>
      </c>
      <c r="H14" s="4">
        <f t="shared" si="10"/>
        <v>8.3333333333333329E-2</v>
      </c>
      <c r="I14" s="4">
        <f t="shared" si="10"/>
        <v>7.6923076923076927E-2</v>
      </c>
      <c r="J14" s="4">
        <f t="shared" si="10"/>
        <v>7.1428571428571425E-2</v>
      </c>
      <c r="K14" s="4">
        <f t="shared" si="10"/>
        <v>6.6666666666666666E-2</v>
      </c>
      <c r="L14" s="4">
        <f t="shared" si="2"/>
        <v>1.2348956598956597</v>
      </c>
      <c r="M14" s="3"/>
    </row>
    <row r="15" spans="1:13" x14ac:dyDescent="0.2">
      <c r="A15" s="4">
        <f>-1/(INT((ROW()+1)/2)+COLUMN()-4)</f>
        <v>-0.2</v>
      </c>
      <c r="B15" s="4">
        <f t="shared" ref="B15:K15" si="11">-1/(INT((ROW()+1)/2)+COLUMN()-4)</f>
        <v>-0.16666666666666666</v>
      </c>
      <c r="C15" s="4">
        <f t="shared" si="11"/>
        <v>-0.14285714285714285</v>
      </c>
      <c r="D15" s="4">
        <f t="shared" si="11"/>
        <v>-0.125</v>
      </c>
      <c r="E15" s="4">
        <f t="shared" si="11"/>
        <v>-0.1111111111111111</v>
      </c>
      <c r="F15" s="4">
        <f t="shared" si="11"/>
        <v>-0.1</v>
      </c>
      <c r="G15" s="4">
        <f t="shared" si="11"/>
        <v>-9.0909090909090912E-2</v>
      </c>
      <c r="H15" s="4">
        <f t="shared" si="11"/>
        <v>-8.3333333333333329E-2</v>
      </c>
      <c r="I15" s="4">
        <f t="shared" si="11"/>
        <v>-7.6923076923076927E-2</v>
      </c>
      <c r="J15" s="4">
        <f t="shared" si="11"/>
        <v>-7.1428571428571425E-2</v>
      </c>
      <c r="K15" s="4">
        <f t="shared" si="11"/>
        <v>-6.6666666666666666E-2</v>
      </c>
      <c r="L15" s="4">
        <f t="shared" si="2"/>
        <v>-1.2348956598956597</v>
      </c>
      <c r="M15" s="3"/>
    </row>
    <row r="16" spans="1:13" x14ac:dyDescent="0.2">
      <c r="A16" s="4">
        <f>1/(INT((ROW()+1)/2)+COLUMN()-3)</f>
        <v>0.16666666666666666</v>
      </c>
      <c r="B16" s="4">
        <f t="shared" ref="B16:K16" si="12">1/(INT((ROW()+1)/2)+COLUMN()-3)</f>
        <v>0.14285714285714285</v>
      </c>
      <c r="C16" s="4">
        <f t="shared" si="12"/>
        <v>0.125</v>
      </c>
      <c r="D16" s="4">
        <f t="shared" si="12"/>
        <v>0.1111111111111111</v>
      </c>
      <c r="E16" s="4">
        <f t="shared" si="12"/>
        <v>0.1</v>
      </c>
      <c r="F16" s="4">
        <f t="shared" si="12"/>
        <v>9.0909090909090912E-2</v>
      </c>
      <c r="G16" s="4">
        <f t="shared" si="12"/>
        <v>8.3333333333333329E-2</v>
      </c>
      <c r="H16" s="4">
        <f t="shared" si="12"/>
        <v>7.6923076923076927E-2</v>
      </c>
      <c r="I16" s="4">
        <f t="shared" si="12"/>
        <v>7.1428571428571425E-2</v>
      </c>
      <c r="J16" s="4">
        <f t="shared" si="12"/>
        <v>6.6666666666666666E-2</v>
      </c>
      <c r="K16" s="4">
        <f t="shared" si="12"/>
        <v>6.25E-2</v>
      </c>
      <c r="L16" s="4">
        <f t="shared" si="2"/>
        <v>1.09739565989566</v>
      </c>
      <c r="M16" s="3"/>
    </row>
    <row r="17" spans="1:14" x14ac:dyDescent="0.2">
      <c r="A17" s="4">
        <f>-1/(INT((ROW()+1)/2)+COLUMN()-4)</f>
        <v>-0.16666666666666666</v>
      </c>
      <c r="B17" s="4">
        <f t="shared" ref="B17:K17" si="13">-1/(INT((ROW()+1)/2)+COLUMN()-4)</f>
        <v>-0.14285714285714285</v>
      </c>
      <c r="C17" s="4">
        <f t="shared" si="13"/>
        <v>-0.125</v>
      </c>
      <c r="D17" s="4">
        <f t="shared" si="13"/>
        <v>-0.1111111111111111</v>
      </c>
      <c r="E17" s="4">
        <f t="shared" si="13"/>
        <v>-0.1</v>
      </c>
      <c r="F17" s="4">
        <f t="shared" si="13"/>
        <v>-9.0909090909090912E-2</v>
      </c>
      <c r="G17" s="4">
        <f t="shared" si="13"/>
        <v>-8.3333333333333329E-2</v>
      </c>
      <c r="H17" s="4">
        <f t="shared" si="13"/>
        <v>-7.6923076923076927E-2</v>
      </c>
      <c r="I17" s="4">
        <f t="shared" si="13"/>
        <v>-7.1428571428571425E-2</v>
      </c>
      <c r="J17" s="4">
        <f t="shared" si="13"/>
        <v>-6.6666666666666666E-2</v>
      </c>
      <c r="K17" s="4">
        <f t="shared" si="13"/>
        <v>-6.25E-2</v>
      </c>
      <c r="L17" s="4">
        <f t="shared" si="2"/>
        <v>-1.09739565989566</v>
      </c>
      <c r="M17" s="3"/>
      <c r="N17" s="5"/>
    </row>
    <row r="18" spans="1:14" x14ac:dyDescent="0.2">
      <c r="A18" s="4">
        <f>1/(INT((ROW()+1)/2)+COLUMN()-3)</f>
        <v>0.14285714285714285</v>
      </c>
      <c r="B18" s="4">
        <f t="shared" ref="B18:K18" si="14">1/(INT((ROW()+1)/2)+COLUMN()-3)</f>
        <v>0.125</v>
      </c>
      <c r="C18" s="4">
        <f t="shared" si="14"/>
        <v>0.1111111111111111</v>
      </c>
      <c r="D18" s="4">
        <f t="shared" si="14"/>
        <v>0.1</v>
      </c>
      <c r="E18" s="4">
        <f t="shared" si="14"/>
        <v>9.0909090909090912E-2</v>
      </c>
      <c r="F18" s="4">
        <f t="shared" si="14"/>
        <v>8.3333333333333329E-2</v>
      </c>
      <c r="G18" s="4">
        <f t="shared" si="14"/>
        <v>7.6923076923076927E-2</v>
      </c>
      <c r="H18" s="4">
        <f t="shared" si="14"/>
        <v>7.1428571428571425E-2</v>
      </c>
      <c r="I18" s="4">
        <f t="shared" si="14"/>
        <v>6.6666666666666666E-2</v>
      </c>
      <c r="J18" s="4">
        <f t="shared" si="14"/>
        <v>6.25E-2</v>
      </c>
      <c r="K18" s="4">
        <f t="shared" si="14"/>
        <v>5.8823529411764705E-2</v>
      </c>
      <c r="L18" s="4">
        <f t="shared" si="2"/>
        <v>0.98955252264075799</v>
      </c>
      <c r="M18" s="3"/>
    </row>
    <row r="19" spans="1:14" x14ac:dyDescent="0.2">
      <c r="A19" s="4">
        <f>-1/(INT((ROW()+1)/2)+COLUMN()-4)</f>
        <v>-0.14285714285714285</v>
      </c>
      <c r="B19" s="4">
        <f t="shared" ref="B19:K19" si="15">-1/(INT((ROW()+1)/2)+COLUMN()-4)</f>
        <v>-0.125</v>
      </c>
      <c r="C19" s="4">
        <f t="shared" si="15"/>
        <v>-0.1111111111111111</v>
      </c>
      <c r="D19" s="4">
        <f t="shared" si="15"/>
        <v>-0.1</v>
      </c>
      <c r="E19" s="4">
        <f t="shared" si="15"/>
        <v>-9.0909090909090912E-2</v>
      </c>
      <c r="F19" s="4">
        <f t="shared" si="15"/>
        <v>-8.3333333333333329E-2</v>
      </c>
      <c r="G19" s="4">
        <f t="shared" si="15"/>
        <v>-7.6923076923076927E-2</v>
      </c>
      <c r="H19" s="4">
        <f t="shared" si="15"/>
        <v>-7.1428571428571425E-2</v>
      </c>
      <c r="I19" s="4">
        <f t="shared" si="15"/>
        <v>-6.6666666666666666E-2</v>
      </c>
      <c r="J19" s="4">
        <f t="shared" si="15"/>
        <v>-6.25E-2</v>
      </c>
      <c r="K19" s="4">
        <f t="shared" si="15"/>
        <v>-5.8823529411764705E-2</v>
      </c>
      <c r="L19" s="4">
        <f t="shared" si="2"/>
        <v>-0.98955252264075799</v>
      </c>
      <c r="M19" s="3"/>
    </row>
    <row r="20" spans="1:14" x14ac:dyDescent="0.2">
      <c r="A20" s="4">
        <f>1/(INT((ROW()+1)/2)+COLUMN()-3)</f>
        <v>0.125</v>
      </c>
      <c r="B20" s="4">
        <f t="shared" ref="B20:K20" si="16">1/(INT((ROW()+1)/2)+COLUMN()-3)</f>
        <v>0.1111111111111111</v>
      </c>
      <c r="C20" s="4">
        <f t="shared" si="16"/>
        <v>0.1</v>
      </c>
      <c r="D20" s="4">
        <f t="shared" si="16"/>
        <v>9.0909090909090912E-2</v>
      </c>
      <c r="E20" s="4">
        <f t="shared" si="16"/>
        <v>8.3333333333333329E-2</v>
      </c>
      <c r="F20" s="4">
        <f t="shared" si="16"/>
        <v>7.6923076923076927E-2</v>
      </c>
      <c r="G20" s="4">
        <f t="shared" si="16"/>
        <v>7.1428571428571425E-2</v>
      </c>
      <c r="H20" s="4">
        <f t="shared" si="16"/>
        <v>6.6666666666666666E-2</v>
      </c>
      <c r="I20" s="4">
        <f t="shared" si="16"/>
        <v>6.25E-2</v>
      </c>
      <c r="J20" s="4">
        <f t="shared" si="16"/>
        <v>5.8823529411764705E-2</v>
      </c>
      <c r="K20" s="4">
        <f t="shared" si="16"/>
        <v>5.5555555555555552E-2</v>
      </c>
      <c r="L20" s="4">
        <f t="shared" si="2"/>
        <v>0.90225093533917078</v>
      </c>
      <c r="M20" s="3"/>
    </row>
    <row r="21" spans="1:14" x14ac:dyDescent="0.2">
      <c r="A21" s="4">
        <f>-1/(INT((ROW()+1)/2)+COLUMN()-4)</f>
        <v>-0.125</v>
      </c>
      <c r="B21" s="4">
        <f t="shared" ref="B21:K21" si="17">-1/(INT((ROW()+1)/2)+COLUMN()-4)</f>
        <v>-0.1111111111111111</v>
      </c>
      <c r="C21" s="4">
        <f t="shared" si="17"/>
        <v>-0.1</v>
      </c>
      <c r="D21" s="4">
        <f t="shared" si="17"/>
        <v>-9.0909090909090912E-2</v>
      </c>
      <c r="E21" s="4">
        <f t="shared" si="17"/>
        <v>-8.3333333333333329E-2</v>
      </c>
      <c r="F21" s="4">
        <f t="shared" si="17"/>
        <v>-7.6923076923076927E-2</v>
      </c>
      <c r="G21" s="4">
        <f t="shared" si="17"/>
        <v>-7.1428571428571425E-2</v>
      </c>
      <c r="H21" s="4">
        <f t="shared" si="17"/>
        <v>-6.6666666666666666E-2</v>
      </c>
      <c r="I21" s="4">
        <f t="shared" si="17"/>
        <v>-6.25E-2</v>
      </c>
      <c r="J21" s="4">
        <f t="shared" si="17"/>
        <v>-5.8823529411764705E-2</v>
      </c>
      <c r="K21" s="4">
        <f t="shared" si="17"/>
        <v>-5.5555555555555552E-2</v>
      </c>
      <c r="L21" s="4">
        <f t="shared" si="2"/>
        <v>-0.90225093533917078</v>
      </c>
      <c r="M21" s="3"/>
    </row>
    <row r="22" spans="1:14" x14ac:dyDescent="0.2">
      <c r="A22" s="4">
        <f>1/(INT((ROW()+1)/2)+COLUMN()-3)</f>
        <v>0.1111111111111111</v>
      </c>
      <c r="B22" s="4">
        <f t="shared" ref="B22:K22" si="18">1/(INT((ROW()+1)/2)+COLUMN()-3)</f>
        <v>0.1</v>
      </c>
      <c r="C22" s="4">
        <f t="shared" si="18"/>
        <v>9.0909090909090912E-2</v>
      </c>
      <c r="D22" s="4">
        <f t="shared" si="18"/>
        <v>8.3333333333333329E-2</v>
      </c>
      <c r="E22" s="4">
        <f t="shared" si="18"/>
        <v>7.6923076923076927E-2</v>
      </c>
      <c r="F22" s="4">
        <f t="shared" si="18"/>
        <v>7.1428571428571425E-2</v>
      </c>
      <c r="G22" s="4">
        <f t="shared" si="18"/>
        <v>6.6666666666666666E-2</v>
      </c>
      <c r="H22" s="4">
        <f t="shared" si="18"/>
        <v>6.25E-2</v>
      </c>
      <c r="I22" s="4">
        <f t="shared" si="18"/>
        <v>5.8823529411764705E-2</v>
      </c>
      <c r="J22" s="4">
        <f t="shared" si="18"/>
        <v>5.5555555555555552E-2</v>
      </c>
      <c r="K22" s="4">
        <f t="shared" si="18"/>
        <v>5.2631578947368418E-2</v>
      </c>
      <c r="L22" s="4">
        <f t="shared" si="2"/>
        <v>0.82988251428653914</v>
      </c>
      <c r="M22" s="3"/>
    </row>
    <row r="23" spans="1:14" x14ac:dyDescent="0.2">
      <c r="A23" s="4">
        <f>-1/(INT((ROW()+1)/2)+COLUMN()-4)</f>
        <v>-0.1111111111111111</v>
      </c>
      <c r="B23" s="4">
        <f t="shared" ref="B23:K23" si="19">-1/(INT((ROW()+1)/2)+COLUMN()-4)</f>
        <v>-0.1</v>
      </c>
      <c r="C23" s="4">
        <f t="shared" si="19"/>
        <v>-9.0909090909090912E-2</v>
      </c>
      <c r="D23" s="4">
        <f t="shared" si="19"/>
        <v>-8.3333333333333329E-2</v>
      </c>
      <c r="E23" s="4">
        <f t="shared" si="19"/>
        <v>-7.6923076923076927E-2</v>
      </c>
      <c r="F23" s="4">
        <f t="shared" si="19"/>
        <v>-7.1428571428571425E-2</v>
      </c>
      <c r="G23" s="4">
        <f t="shared" si="19"/>
        <v>-6.6666666666666666E-2</v>
      </c>
      <c r="H23" s="4">
        <f t="shared" si="19"/>
        <v>-6.25E-2</v>
      </c>
      <c r="I23" s="4">
        <f t="shared" si="19"/>
        <v>-5.8823529411764705E-2</v>
      </c>
      <c r="J23" s="4">
        <f t="shared" si="19"/>
        <v>-5.5555555555555552E-2</v>
      </c>
      <c r="K23" s="4">
        <f t="shared" si="19"/>
        <v>-5.2631578947368418E-2</v>
      </c>
      <c r="L23" s="4">
        <f t="shared" si="2"/>
        <v>-0.82988251428653914</v>
      </c>
      <c r="M23" s="3"/>
    </row>
    <row r="24" spans="1:14" x14ac:dyDescent="0.2">
      <c r="A24" s="4">
        <f>1/(INT((ROW()+1)/2)+COLUMN()-3)</f>
        <v>0.1</v>
      </c>
      <c r="B24" s="4">
        <f t="shared" ref="B24:K24" si="20">1/(INT((ROW()+1)/2)+COLUMN()-3)</f>
        <v>9.0909090909090912E-2</v>
      </c>
      <c r="C24" s="4">
        <f t="shared" si="20"/>
        <v>8.3333333333333329E-2</v>
      </c>
      <c r="D24" s="4">
        <f t="shared" si="20"/>
        <v>7.6923076923076927E-2</v>
      </c>
      <c r="E24" s="4">
        <f t="shared" si="20"/>
        <v>7.1428571428571425E-2</v>
      </c>
      <c r="F24" s="4">
        <f t="shared" si="20"/>
        <v>6.6666666666666666E-2</v>
      </c>
      <c r="G24" s="4">
        <f t="shared" si="20"/>
        <v>6.25E-2</v>
      </c>
      <c r="H24" s="4">
        <f t="shared" si="20"/>
        <v>5.8823529411764705E-2</v>
      </c>
      <c r="I24" s="4">
        <f t="shared" si="20"/>
        <v>5.5555555555555552E-2</v>
      </c>
      <c r="J24" s="4">
        <f t="shared" si="20"/>
        <v>5.2631578947368418E-2</v>
      </c>
      <c r="K24" s="4">
        <f t="shared" si="20"/>
        <v>0.05</v>
      </c>
      <c r="L24" s="4">
        <f t="shared" si="2"/>
        <v>0.76877140317542803</v>
      </c>
      <c r="M24" s="3"/>
    </row>
    <row r="25" spans="1:14" x14ac:dyDescent="0.2">
      <c r="A25" s="4">
        <f>-1/(INT((ROW()+1)/2)+COLUMN()-4)</f>
        <v>-0.1</v>
      </c>
      <c r="B25" s="4">
        <f t="shared" ref="B25:K25" si="21">-1/(INT((ROW()+1)/2)+COLUMN()-4)</f>
        <v>-9.0909090909090912E-2</v>
      </c>
      <c r="C25" s="4">
        <f t="shared" si="21"/>
        <v>-8.3333333333333329E-2</v>
      </c>
      <c r="D25" s="4">
        <f t="shared" si="21"/>
        <v>-7.6923076923076927E-2</v>
      </c>
      <c r="E25" s="4">
        <f t="shared" si="21"/>
        <v>-7.1428571428571425E-2</v>
      </c>
      <c r="F25" s="4">
        <f t="shared" si="21"/>
        <v>-6.6666666666666666E-2</v>
      </c>
      <c r="G25" s="4">
        <f t="shared" si="21"/>
        <v>-6.25E-2</v>
      </c>
      <c r="H25" s="4">
        <f t="shared" si="21"/>
        <v>-5.8823529411764705E-2</v>
      </c>
      <c r="I25" s="4">
        <f t="shared" si="21"/>
        <v>-5.5555555555555552E-2</v>
      </c>
      <c r="J25" s="4">
        <f t="shared" si="21"/>
        <v>-5.2631578947368418E-2</v>
      </c>
      <c r="K25" s="4">
        <f t="shared" si="21"/>
        <v>-0.05</v>
      </c>
      <c r="L25" s="4">
        <f t="shared" si="2"/>
        <v>-0.76877140317542803</v>
      </c>
      <c r="M25" s="3"/>
    </row>
    <row r="26" spans="1:14" x14ac:dyDescent="0.2">
      <c r="A26" s="4">
        <f>1/(INT((ROW()+1)/2)+COLUMN()-3)</f>
        <v>9.0909090909090912E-2</v>
      </c>
      <c r="B26" s="4">
        <f t="shared" ref="B26:K26" si="22">1/(INT((ROW()+1)/2)+COLUMN()-3)</f>
        <v>8.3333333333333329E-2</v>
      </c>
      <c r="C26" s="4">
        <f t="shared" si="22"/>
        <v>7.6923076923076927E-2</v>
      </c>
      <c r="D26" s="4">
        <f t="shared" si="22"/>
        <v>7.1428571428571425E-2</v>
      </c>
      <c r="E26" s="4">
        <f t="shared" si="22"/>
        <v>6.6666666666666666E-2</v>
      </c>
      <c r="F26" s="4">
        <f t="shared" si="22"/>
        <v>6.25E-2</v>
      </c>
      <c r="G26" s="4">
        <f t="shared" si="22"/>
        <v>5.8823529411764705E-2</v>
      </c>
      <c r="H26" s="4">
        <f t="shared" si="22"/>
        <v>5.5555555555555552E-2</v>
      </c>
      <c r="I26" s="4">
        <f t="shared" si="22"/>
        <v>5.2631578947368418E-2</v>
      </c>
      <c r="J26" s="4">
        <f t="shared" si="22"/>
        <v>0.05</v>
      </c>
      <c r="K26" s="4">
        <f t="shared" si="22"/>
        <v>4.7619047619047616E-2</v>
      </c>
      <c r="L26" s="4">
        <f t="shared" si="2"/>
        <v>0.71639045079447561</v>
      </c>
      <c r="M26" s="3"/>
    </row>
    <row r="27" spans="1:14" x14ac:dyDescent="0.2">
      <c r="A27" s="4">
        <f>-1/(INT((ROW()+1)/2)+COLUMN()-4)</f>
        <v>-9.0909090909090912E-2</v>
      </c>
      <c r="B27" s="4">
        <f t="shared" ref="B27:K27" si="23">-1/(INT((ROW()+1)/2)+COLUMN()-4)</f>
        <v>-8.3333333333333329E-2</v>
      </c>
      <c r="C27" s="4">
        <f t="shared" si="23"/>
        <v>-7.6923076923076927E-2</v>
      </c>
      <c r="D27" s="4">
        <f t="shared" si="23"/>
        <v>-7.1428571428571425E-2</v>
      </c>
      <c r="E27" s="4">
        <f t="shared" si="23"/>
        <v>-6.6666666666666666E-2</v>
      </c>
      <c r="F27" s="4">
        <f t="shared" si="23"/>
        <v>-6.25E-2</v>
      </c>
      <c r="G27" s="4">
        <f t="shared" si="23"/>
        <v>-5.8823529411764705E-2</v>
      </c>
      <c r="H27" s="4">
        <f t="shared" si="23"/>
        <v>-5.5555555555555552E-2</v>
      </c>
      <c r="I27" s="4">
        <f t="shared" si="23"/>
        <v>-5.2631578947368418E-2</v>
      </c>
      <c r="J27" s="4">
        <f t="shared" si="23"/>
        <v>-0.05</v>
      </c>
      <c r="K27" s="4">
        <f t="shared" si="23"/>
        <v>-4.7619047619047616E-2</v>
      </c>
      <c r="L27" s="4">
        <f t="shared" si="2"/>
        <v>-0.71639045079447561</v>
      </c>
      <c r="M27" s="3"/>
    </row>
    <row r="28" spans="1:14" x14ac:dyDescent="0.2">
      <c r="A28" s="6">
        <v>0.99999999360962821</v>
      </c>
      <c r="B28" s="6">
        <v>1.0000006681339402</v>
      </c>
      <c r="C28" s="6">
        <v>0.99998267881809233</v>
      </c>
      <c r="D28" s="6">
        <v>1.0001935964082695</v>
      </c>
      <c r="E28" s="6">
        <v>0.99884678856640485</v>
      </c>
      <c r="F28" s="6">
        <v>1.0040545648984396</v>
      </c>
      <c r="G28" s="6">
        <v>0.9911711984290198</v>
      </c>
      <c r="H28" s="6">
        <v>1.0120375076833505</v>
      </c>
      <c r="I28" s="6">
        <v>0.98999975568436283</v>
      </c>
      <c r="J28" s="6">
        <v>1.0046274763588503</v>
      </c>
      <c r="K28" s="6">
        <v>0.99908576741942878</v>
      </c>
      <c r="L28" s="6">
        <v>-14.760589917478462</v>
      </c>
      <c r="M28" s="7" t="s">
        <v>45</v>
      </c>
    </row>
    <row r="29" spans="1:14" x14ac:dyDescent="0.2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9">
        <v>29</v>
      </c>
      <c r="M29" s="7" t="s">
        <v>1</v>
      </c>
    </row>
    <row r="30" spans="1:14" x14ac:dyDescent="0.2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11">
        <f>MAX(MAX(A28:K28)-1,1-MIN(A28:K28))</f>
        <v>1.2037507683350546E-2</v>
      </c>
      <c r="M30" s="7" t="s">
        <v>2</v>
      </c>
    </row>
  </sheetData>
  <pageMargins left="0.70866141732283472" right="0.70866141732283472" top="0.74803149606299213" bottom="0.74803149606299213" header="0.31496062992125984" footer="0.31496062992125984"/>
  <pageSetup paperSize="9" scale="83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4" name="Button 3">
              <controlPr defaultSize="0" print="0" autoFill="0" autoLine="0" autoPict="0" macro="[0]!Simplex.Simplex">
                <anchor moveWithCells="1" sizeWithCells="1">
                  <from>
                    <xdr:col>4</xdr:col>
                    <xdr:colOff>28575</xdr:colOff>
                    <xdr:row>0</xdr:row>
                    <xdr:rowOff>66675</xdr:rowOff>
                  </from>
                  <to>
                    <xdr:col>6</xdr:col>
                    <xdr:colOff>190500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O33"/>
  <sheetViews>
    <sheetView topLeftCell="H7" workbookViewId="0">
      <selection activeCell="N30" sqref="N30"/>
    </sheetView>
  </sheetViews>
  <sheetFormatPr defaultRowHeight="12.75" x14ac:dyDescent="0.2"/>
  <cols>
    <col min="1" max="12" width="13.42578125" style="1" bestFit="1" customWidth="1"/>
    <col min="13" max="13" width="14.42578125" style="1" bestFit="1" customWidth="1"/>
    <col min="14" max="14" width="14.140625" style="2" bestFit="1" customWidth="1"/>
    <col min="15" max="16384" width="9.140625" style="1"/>
  </cols>
  <sheetData>
    <row r="1" spans="1:14" x14ac:dyDescent="0.2">
      <c r="A1" s="1" t="s">
        <v>18</v>
      </c>
      <c r="B1" s="1" t="s">
        <v>19</v>
      </c>
    </row>
    <row r="2" spans="1:14" x14ac:dyDescent="0.2">
      <c r="A2" s="3">
        <v>12</v>
      </c>
      <c r="B2" s="1" t="s">
        <v>4</v>
      </c>
    </row>
    <row r="3" spans="1:14" x14ac:dyDescent="0.2">
      <c r="A3" s="3">
        <v>24</v>
      </c>
      <c r="B3" s="1" t="s">
        <v>5</v>
      </c>
    </row>
    <row r="4" spans="1:14" x14ac:dyDescent="0.2">
      <c r="A4" s="2" t="s">
        <v>6</v>
      </c>
      <c r="B4" s="2" t="s">
        <v>7</v>
      </c>
      <c r="C4" s="2" t="s">
        <v>8</v>
      </c>
      <c r="D4" s="2" t="s">
        <v>9</v>
      </c>
      <c r="E4" s="2" t="s">
        <v>10</v>
      </c>
      <c r="F4" s="2" t="s">
        <v>11</v>
      </c>
      <c r="G4" s="2" t="s">
        <v>12</v>
      </c>
      <c r="H4" s="2" t="s">
        <v>13</v>
      </c>
      <c r="I4" s="2" t="s">
        <v>14</v>
      </c>
      <c r="J4" s="2" t="s">
        <v>15</v>
      </c>
      <c r="K4" s="2" t="s">
        <v>16</v>
      </c>
      <c r="L4" s="2" t="s">
        <v>17</v>
      </c>
      <c r="M4" s="10" t="s">
        <v>3</v>
      </c>
    </row>
    <row r="5" spans="1:14" x14ac:dyDescent="0.2">
      <c r="A5" s="4">
        <f t="shared" ref="A5:L5" si="0">SUMIF(A6:A29,"&lt;0")</f>
        <v>-3.1032106782106781</v>
      </c>
      <c r="B5" s="4">
        <f t="shared" si="0"/>
        <v>-2.1801337551337556</v>
      </c>
      <c r="C5" s="4">
        <f t="shared" si="0"/>
        <v>-1.7515623265623264</v>
      </c>
      <c r="D5" s="4">
        <f t="shared" si="0"/>
        <v>-1.4848956598956597</v>
      </c>
      <c r="E5" s="4">
        <f t="shared" si="0"/>
        <v>-1.2973956598956597</v>
      </c>
      <c r="F5" s="4">
        <f t="shared" si="0"/>
        <v>-1.1562191893074247</v>
      </c>
      <c r="G5" s="4">
        <f t="shared" si="0"/>
        <v>-1.0451080781963136</v>
      </c>
      <c r="H5" s="4">
        <f t="shared" si="0"/>
        <v>-0.95488251428653914</v>
      </c>
      <c r="I5" s="4">
        <f t="shared" si="0"/>
        <v>-0.87988251428653919</v>
      </c>
      <c r="J5" s="4">
        <f t="shared" si="0"/>
        <v>-0.8163904507944757</v>
      </c>
      <c r="K5" s="4">
        <f t="shared" si="0"/>
        <v>-0.76184499624902102</v>
      </c>
      <c r="L5" s="4">
        <f t="shared" si="0"/>
        <v>-0.71441416620949538</v>
      </c>
    </row>
    <row r="6" spans="1:14" x14ac:dyDescent="0.2">
      <c r="A6" s="4">
        <f>1/(INT((ROW()+1)/2)+COLUMN()-3)</f>
        <v>1</v>
      </c>
      <c r="B6" s="4">
        <f t="shared" ref="B6:L6" si="1">1/(INT((ROW()+1)/2)+COLUMN()-3)</f>
        <v>0.5</v>
      </c>
      <c r="C6" s="4">
        <f t="shared" si="1"/>
        <v>0.33333333333333331</v>
      </c>
      <c r="D6" s="4">
        <f t="shared" si="1"/>
        <v>0.25</v>
      </c>
      <c r="E6" s="4">
        <f t="shared" si="1"/>
        <v>0.2</v>
      </c>
      <c r="F6" s="4">
        <f t="shared" si="1"/>
        <v>0.16666666666666666</v>
      </c>
      <c r="G6" s="4">
        <f t="shared" si="1"/>
        <v>0.14285714285714285</v>
      </c>
      <c r="H6" s="4">
        <f t="shared" si="1"/>
        <v>0.125</v>
      </c>
      <c r="I6" s="4">
        <f t="shared" si="1"/>
        <v>0.1111111111111111</v>
      </c>
      <c r="J6" s="4">
        <f t="shared" si="1"/>
        <v>0.1</v>
      </c>
      <c r="K6" s="4">
        <f t="shared" si="1"/>
        <v>9.0909090909090912E-2</v>
      </c>
      <c r="L6" s="4">
        <f t="shared" si="1"/>
        <v>8.3333333333333329E-2</v>
      </c>
      <c r="M6" s="4">
        <f>SUM(A6:L6)</f>
        <v>3.1032106782106781</v>
      </c>
      <c r="N6" s="3"/>
    </row>
    <row r="7" spans="1:14" x14ac:dyDescent="0.2">
      <c r="A7" s="4">
        <f>-1/(INT((ROW()+1)/2)+COLUMN()-4)</f>
        <v>-1</v>
      </c>
      <c r="B7" s="4">
        <f t="shared" ref="B7:L7" si="2">-1/(INT((ROW()+1)/2)+COLUMN()-4)</f>
        <v>-0.5</v>
      </c>
      <c r="C7" s="4">
        <f t="shared" si="2"/>
        <v>-0.33333333333333331</v>
      </c>
      <c r="D7" s="4">
        <f t="shared" si="2"/>
        <v>-0.25</v>
      </c>
      <c r="E7" s="4">
        <f t="shared" si="2"/>
        <v>-0.2</v>
      </c>
      <c r="F7" s="4">
        <f t="shared" si="2"/>
        <v>-0.16666666666666666</v>
      </c>
      <c r="G7" s="4">
        <f t="shared" si="2"/>
        <v>-0.14285714285714285</v>
      </c>
      <c r="H7" s="4">
        <f t="shared" si="2"/>
        <v>-0.125</v>
      </c>
      <c r="I7" s="4">
        <f t="shared" si="2"/>
        <v>-0.1111111111111111</v>
      </c>
      <c r="J7" s="4">
        <f t="shared" si="2"/>
        <v>-0.1</v>
      </c>
      <c r="K7" s="4">
        <f t="shared" si="2"/>
        <v>-9.0909090909090912E-2</v>
      </c>
      <c r="L7" s="4">
        <f t="shared" si="2"/>
        <v>-8.3333333333333329E-2</v>
      </c>
      <c r="M7" s="4">
        <f t="shared" ref="M7:M29" si="3">SUM(A7:L7)</f>
        <v>-3.1032106782106781</v>
      </c>
      <c r="N7" s="3"/>
    </row>
    <row r="8" spans="1:14" x14ac:dyDescent="0.2">
      <c r="A8" s="4">
        <f>1/(INT((ROW()+1)/2)+COLUMN()-3)</f>
        <v>0.5</v>
      </c>
      <c r="B8" s="4">
        <f t="shared" ref="B8:L8" si="4">1/(INT((ROW()+1)/2)+COLUMN()-3)</f>
        <v>0.33333333333333331</v>
      </c>
      <c r="C8" s="4">
        <f t="shared" si="4"/>
        <v>0.25</v>
      </c>
      <c r="D8" s="4">
        <f t="shared" si="4"/>
        <v>0.2</v>
      </c>
      <c r="E8" s="4">
        <f t="shared" si="4"/>
        <v>0.16666666666666666</v>
      </c>
      <c r="F8" s="4">
        <f t="shared" si="4"/>
        <v>0.14285714285714285</v>
      </c>
      <c r="G8" s="4">
        <f t="shared" si="4"/>
        <v>0.125</v>
      </c>
      <c r="H8" s="4">
        <f t="shared" si="4"/>
        <v>0.1111111111111111</v>
      </c>
      <c r="I8" s="4">
        <f t="shared" si="4"/>
        <v>0.1</v>
      </c>
      <c r="J8" s="4">
        <f t="shared" si="4"/>
        <v>9.0909090909090912E-2</v>
      </c>
      <c r="K8" s="4">
        <f t="shared" si="4"/>
        <v>8.3333333333333329E-2</v>
      </c>
      <c r="L8" s="4">
        <f t="shared" si="4"/>
        <v>7.6923076923076927E-2</v>
      </c>
      <c r="M8" s="4">
        <f t="shared" si="3"/>
        <v>2.1801337551337556</v>
      </c>
      <c r="N8" s="3"/>
    </row>
    <row r="9" spans="1:14" x14ac:dyDescent="0.2">
      <c r="A9" s="4">
        <f>-1/(INT((ROW()+1)/2)+COLUMN()-4)</f>
        <v>-0.5</v>
      </c>
      <c r="B9" s="4">
        <f t="shared" ref="B9:L9" si="5">-1/(INT((ROW()+1)/2)+COLUMN()-4)</f>
        <v>-0.33333333333333331</v>
      </c>
      <c r="C9" s="4">
        <f t="shared" si="5"/>
        <v>-0.25</v>
      </c>
      <c r="D9" s="4">
        <f t="shared" si="5"/>
        <v>-0.2</v>
      </c>
      <c r="E9" s="4">
        <f t="shared" si="5"/>
        <v>-0.16666666666666666</v>
      </c>
      <c r="F9" s="4">
        <f t="shared" si="5"/>
        <v>-0.14285714285714285</v>
      </c>
      <c r="G9" s="4">
        <f t="shared" si="5"/>
        <v>-0.125</v>
      </c>
      <c r="H9" s="4">
        <f t="shared" si="5"/>
        <v>-0.1111111111111111</v>
      </c>
      <c r="I9" s="4">
        <f t="shared" si="5"/>
        <v>-0.1</v>
      </c>
      <c r="J9" s="4">
        <f t="shared" si="5"/>
        <v>-9.0909090909090912E-2</v>
      </c>
      <c r="K9" s="4">
        <f t="shared" si="5"/>
        <v>-8.3333333333333329E-2</v>
      </c>
      <c r="L9" s="4">
        <f t="shared" si="5"/>
        <v>-7.6923076923076927E-2</v>
      </c>
      <c r="M9" s="4">
        <f t="shared" si="3"/>
        <v>-2.1801337551337556</v>
      </c>
      <c r="N9" s="3"/>
    </row>
    <row r="10" spans="1:14" x14ac:dyDescent="0.2">
      <c r="A10" s="4">
        <f>1/(INT((ROW()+1)/2)+COLUMN()-3)</f>
        <v>0.33333333333333331</v>
      </c>
      <c r="B10" s="4">
        <f t="shared" ref="B10:L10" si="6">1/(INT((ROW()+1)/2)+COLUMN()-3)</f>
        <v>0.25</v>
      </c>
      <c r="C10" s="4">
        <f t="shared" si="6"/>
        <v>0.2</v>
      </c>
      <c r="D10" s="4">
        <f t="shared" si="6"/>
        <v>0.16666666666666666</v>
      </c>
      <c r="E10" s="4">
        <f t="shared" si="6"/>
        <v>0.14285714285714285</v>
      </c>
      <c r="F10" s="4">
        <f t="shared" si="6"/>
        <v>0.125</v>
      </c>
      <c r="G10" s="4">
        <f t="shared" si="6"/>
        <v>0.1111111111111111</v>
      </c>
      <c r="H10" s="4">
        <f t="shared" si="6"/>
        <v>0.1</v>
      </c>
      <c r="I10" s="4">
        <f t="shared" si="6"/>
        <v>9.0909090909090912E-2</v>
      </c>
      <c r="J10" s="4">
        <f t="shared" si="6"/>
        <v>8.3333333333333329E-2</v>
      </c>
      <c r="K10" s="4">
        <f t="shared" si="6"/>
        <v>7.6923076923076927E-2</v>
      </c>
      <c r="L10" s="4">
        <f t="shared" si="6"/>
        <v>7.1428571428571425E-2</v>
      </c>
      <c r="M10" s="4">
        <f t="shared" si="3"/>
        <v>1.7515623265623264</v>
      </c>
      <c r="N10" s="3"/>
    </row>
    <row r="11" spans="1:14" x14ac:dyDescent="0.2">
      <c r="A11" s="4">
        <f>-1/(INT((ROW()+1)/2)+COLUMN()-4)</f>
        <v>-0.33333333333333331</v>
      </c>
      <c r="B11" s="4">
        <f t="shared" ref="B11:L11" si="7">-1/(INT((ROW()+1)/2)+COLUMN()-4)</f>
        <v>-0.25</v>
      </c>
      <c r="C11" s="4">
        <f t="shared" si="7"/>
        <v>-0.2</v>
      </c>
      <c r="D11" s="4">
        <f t="shared" si="7"/>
        <v>-0.16666666666666666</v>
      </c>
      <c r="E11" s="4">
        <f t="shared" si="7"/>
        <v>-0.14285714285714285</v>
      </c>
      <c r="F11" s="4">
        <f t="shared" si="7"/>
        <v>-0.125</v>
      </c>
      <c r="G11" s="4">
        <f t="shared" si="7"/>
        <v>-0.1111111111111111</v>
      </c>
      <c r="H11" s="4">
        <f t="shared" si="7"/>
        <v>-0.1</v>
      </c>
      <c r="I11" s="4">
        <f t="shared" si="7"/>
        <v>-9.0909090909090912E-2</v>
      </c>
      <c r="J11" s="4">
        <f t="shared" si="7"/>
        <v>-8.3333333333333329E-2</v>
      </c>
      <c r="K11" s="4">
        <f t="shared" si="7"/>
        <v>-7.6923076923076927E-2</v>
      </c>
      <c r="L11" s="4">
        <f t="shared" si="7"/>
        <v>-7.1428571428571425E-2</v>
      </c>
      <c r="M11" s="4">
        <f t="shared" si="3"/>
        <v>-1.7515623265623264</v>
      </c>
      <c r="N11" s="3"/>
    </row>
    <row r="12" spans="1:14" x14ac:dyDescent="0.2">
      <c r="A12" s="4">
        <f>1/(INT((ROW()+1)/2)+COLUMN()-3)</f>
        <v>0.25</v>
      </c>
      <c r="B12" s="4">
        <f t="shared" ref="B12:L12" si="8">1/(INT((ROW()+1)/2)+COLUMN()-3)</f>
        <v>0.2</v>
      </c>
      <c r="C12" s="4">
        <f t="shared" si="8"/>
        <v>0.16666666666666666</v>
      </c>
      <c r="D12" s="4">
        <f t="shared" si="8"/>
        <v>0.14285714285714285</v>
      </c>
      <c r="E12" s="4">
        <f t="shared" si="8"/>
        <v>0.125</v>
      </c>
      <c r="F12" s="4">
        <f t="shared" si="8"/>
        <v>0.1111111111111111</v>
      </c>
      <c r="G12" s="4">
        <f t="shared" si="8"/>
        <v>0.1</v>
      </c>
      <c r="H12" s="4">
        <f t="shared" si="8"/>
        <v>9.0909090909090912E-2</v>
      </c>
      <c r="I12" s="4">
        <f t="shared" si="8"/>
        <v>8.3333333333333329E-2</v>
      </c>
      <c r="J12" s="4">
        <f t="shared" si="8"/>
        <v>7.6923076923076927E-2</v>
      </c>
      <c r="K12" s="4">
        <f t="shared" si="8"/>
        <v>7.1428571428571425E-2</v>
      </c>
      <c r="L12" s="4">
        <f t="shared" si="8"/>
        <v>6.6666666666666666E-2</v>
      </c>
      <c r="M12" s="4">
        <f t="shared" si="3"/>
        <v>1.4848956598956597</v>
      </c>
      <c r="N12" s="3"/>
    </row>
    <row r="13" spans="1:14" x14ac:dyDescent="0.2">
      <c r="A13" s="4">
        <f>-1/(INT((ROW()+1)/2)+COLUMN()-4)</f>
        <v>-0.25</v>
      </c>
      <c r="B13" s="4">
        <f t="shared" ref="B13:L13" si="9">-1/(INT((ROW()+1)/2)+COLUMN()-4)</f>
        <v>-0.2</v>
      </c>
      <c r="C13" s="4">
        <f t="shared" si="9"/>
        <v>-0.16666666666666666</v>
      </c>
      <c r="D13" s="4">
        <f t="shared" si="9"/>
        <v>-0.14285714285714285</v>
      </c>
      <c r="E13" s="4">
        <f t="shared" si="9"/>
        <v>-0.125</v>
      </c>
      <c r="F13" s="4">
        <f t="shared" si="9"/>
        <v>-0.1111111111111111</v>
      </c>
      <c r="G13" s="4">
        <f t="shared" si="9"/>
        <v>-0.1</v>
      </c>
      <c r="H13" s="4">
        <f t="shared" si="9"/>
        <v>-9.0909090909090912E-2</v>
      </c>
      <c r="I13" s="4">
        <f t="shared" si="9"/>
        <v>-8.3333333333333329E-2</v>
      </c>
      <c r="J13" s="4">
        <f t="shared" si="9"/>
        <v>-7.6923076923076927E-2</v>
      </c>
      <c r="K13" s="4">
        <f t="shared" si="9"/>
        <v>-7.1428571428571425E-2</v>
      </c>
      <c r="L13" s="4">
        <f t="shared" si="9"/>
        <v>-6.6666666666666666E-2</v>
      </c>
      <c r="M13" s="4">
        <f t="shared" si="3"/>
        <v>-1.4848956598956597</v>
      </c>
      <c r="N13" s="3"/>
    </row>
    <row r="14" spans="1:14" x14ac:dyDescent="0.2">
      <c r="A14" s="4">
        <f>1/(INT((ROW()+1)/2)+COLUMN()-3)</f>
        <v>0.2</v>
      </c>
      <c r="B14" s="4">
        <f t="shared" ref="B14:L14" si="10">1/(INT((ROW()+1)/2)+COLUMN()-3)</f>
        <v>0.16666666666666666</v>
      </c>
      <c r="C14" s="4">
        <f t="shared" si="10"/>
        <v>0.14285714285714285</v>
      </c>
      <c r="D14" s="4">
        <f t="shared" si="10"/>
        <v>0.125</v>
      </c>
      <c r="E14" s="4">
        <f t="shared" si="10"/>
        <v>0.1111111111111111</v>
      </c>
      <c r="F14" s="4">
        <f t="shared" si="10"/>
        <v>0.1</v>
      </c>
      <c r="G14" s="4">
        <f t="shared" si="10"/>
        <v>9.0909090909090912E-2</v>
      </c>
      <c r="H14" s="4">
        <f t="shared" si="10"/>
        <v>8.3333333333333329E-2</v>
      </c>
      <c r="I14" s="4">
        <f t="shared" si="10"/>
        <v>7.6923076923076927E-2</v>
      </c>
      <c r="J14" s="4">
        <f t="shared" si="10"/>
        <v>7.1428571428571425E-2</v>
      </c>
      <c r="K14" s="4">
        <f t="shared" si="10"/>
        <v>6.6666666666666666E-2</v>
      </c>
      <c r="L14" s="4">
        <f t="shared" si="10"/>
        <v>6.25E-2</v>
      </c>
      <c r="M14" s="4">
        <f t="shared" si="3"/>
        <v>1.2973956598956597</v>
      </c>
      <c r="N14" s="3"/>
    </row>
    <row r="15" spans="1:14" x14ac:dyDescent="0.2">
      <c r="A15" s="4">
        <f>-1/(INT((ROW()+1)/2)+COLUMN()-4)</f>
        <v>-0.2</v>
      </c>
      <c r="B15" s="4">
        <f t="shared" ref="B15:L15" si="11">-1/(INT((ROW()+1)/2)+COLUMN()-4)</f>
        <v>-0.16666666666666666</v>
      </c>
      <c r="C15" s="4">
        <f t="shared" si="11"/>
        <v>-0.14285714285714285</v>
      </c>
      <c r="D15" s="4">
        <f t="shared" si="11"/>
        <v>-0.125</v>
      </c>
      <c r="E15" s="4">
        <f t="shared" si="11"/>
        <v>-0.1111111111111111</v>
      </c>
      <c r="F15" s="4">
        <f t="shared" si="11"/>
        <v>-0.1</v>
      </c>
      <c r="G15" s="4">
        <f t="shared" si="11"/>
        <v>-9.0909090909090912E-2</v>
      </c>
      <c r="H15" s="4">
        <f t="shared" si="11"/>
        <v>-8.3333333333333329E-2</v>
      </c>
      <c r="I15" s="4">
        <f t="shared" si="11"/>
        <v>-7.6923076923076927E-2</v>
      </c>
      <c r="J15" s="4">
        <f t="shared" si="11"/>
        <v>-7.1428571428571425E-2</v>
      </c>
      <c r="K15" s="4">
        <f t="shared" si="11"/>
        <v>-6.6666666666666666E-2</v>
      </c>
      <c r="L15" s="4">
        <f t="shared" si="11"/>
        <v>-6.25E-2</v>
      </c>
      <c r="M15" s="4">
        <f t="shared" si="3"/>
        <v>-1.2973956598956597</v>
      </c>
      <c r="N15" s="3"/>
    </row>
    <row r="16" spans="1:14" x14ac:dyDescent="0.2">
      <c r="A16" s="4">
        <f>1/(INT((ROW()+1)/2)+COLUMN()-3)</f>
        <v>0.16666666666666666</v>
      </c>
      <c r="B16" s="4">
        <f t="shared" ref="B16:L16" si="12">1/(INT((ROW()+1)/2)+COLUMN()-3)</f>
        <v>0.14285714285714285</v>
      </c>
      <c r="C16" s="4">
        <f t="shared" si="12"/>
        <v>0.125</v>
      </c>
      <c r="D16" s="4">
        <f t="shared" si="12"/>
        <v>0.1111111111111111</v>
      </c>
      <c r="E16" s="4">
        <f t="shared" si="12"/>
        <v>0.1</v>
      </c>
      <c r="F16" s="4">
        <f t="shared" si="12"/>
        <v>9.0909090909090912E-2</v>
      </c>
      <c r="G16" s="4">
        <f t="shared" si="12"/>
        <v>8.3333333333333329E-2</v>
      </c>
      <c r="H16" s="4">
        <f t="shared" si="12"/>
        <v>7.6923076923076927E-2</v>
      </c>
      <c r="I16" s="4">
        <f t="shared" si="12"/>
        <v>7.1428571428571425E-2</v>
      </c>
      <c r="J16" s="4">
        <f t="shared" si="12"/>
        <v>6.6666666666666666E-2</v>
      </c>
      <c r="K16" s="4">
        <f t="shared" si="12"/>
        <v>6.25E-2</v>
      </c>
      <c r="L16" s="4">
        <f t="shared" si="12"/>
        <v>5.8823529411764705E-2</v>
      </c>
      <c r="M16" s="4">
        <f t="shared" si="3"/>
        <v>1.1562191893074247</v>
      </c>
      <c r="N16" s="3"/>
    </row>
    <row r="17" spans="1:14" x14ac:dyDescent="0.2">
      <c r="A17" s="4">
        <f>-1/(INT((ROW()+1)/2)+COLUMN()-4)</f>
        <v>-0.16666666666666666</v>
      </c>
      <c r="B17" s="4">
        <f t="shared" ref="B17:L17" si="13">-1/(INT((ROW()+1)/2)+COLUMN()-4)</f>
        <v>-0.14285714285714285</v>
      </c>
      <c r="C17" s="4">
        <f t="shared" si="13"/>
        <v>-0.125</v>
      </c>
      <c r="D17" s="4">
        <f t="shared" si="13"/>
        <v>-0.1111111111111111</v>
      </c>
      <c r="E17" s="4">
        <f t="shared" si="13"/>
        <v>-0.1</v>
      </c>
      <c r="F17" s="4">
        <f t="shared" si="13"/>
        <v>-9.0909090909090912E-2</v>
      </c>
      <c r="G17" s="4">
        <f t="shared" si="13"/>
        <v>-8.3333333333333329E-2</v>
      </c>
      <c r="H17" s="4">
        <f t="shared" si="13"/>
        <v>-7.6923076923076927E-2</v>
      </c>
      <c r="I17" s="4">
        <f t="shared" si="13"/>
        <v>-7.1428571428571425E-2</v>
      </c>
      <c r="J17" s="4">
        <f t="shared" si="13"/>
        <v>-6.6666666666666666E-2</v>
      </c>
      <c r="K17" s="4">
        <f t="shared" si="13"/>
        <v>-6.25E-2</v>
      </c>
      <c r="L17" s="4">
        <f t="shared" si="13"/>
        <v>-5.8823529411764705E-2</v>
      </c>
      <c r="M17" s="4">
        <f t="shared" si="3"/>
        <v>-1.1562191893074247</v>
      </c>
      <c r="N17" s="3"/>
    </row>
    <row r="18" spans="1:14" x14ac:dyDescent="0.2">
      <c r="A18" s="4">
        <f>1/(INT((ROW()+1)/2)+COLUMN()-3)</f>
        <v>0.14285714285714285</v>
      </c>
      <c r="B18" s="4">
        <f t="shared" ref="B18:L18" si="14">1/(INT((ROW()+1)/2)+COLUMN()-3)</f>
        <v>0.125</v>
      </c>
      <c r="C18" s="4">
        <f t="shared" si="14"/>
        <v>0.1111111111111111</v>
      </c>
      <c r="D18" s="4">
        <f t="shared" si="14"/>
        <v>0.1</v>
      </c>
      <c r="E18" s="4">
        <f t="shared" si="14"/>
        <v>9.0909090909090912E-2</v>
      </c>
      <c r="F18" s="4">
        <f t="shared" si="14"/>
        <v>8.3333333333333329E-2</v>
      </c>
      <c r="G18" s="4">
        <f t="shared" si="14"/>
        <v>7.6923076923076927E-2</v>
      </c>
      <c r="H18" s="4">
        <f t="shared" si="14"/>
        <v>7.1428571428571425E-2</v>
      </c>
      <c r="I18" s="4">
        <f t="shared" si="14"/>
        <v>6.6666666666666666E-2</v>
      </c>
      <c r="J18" s="4">
        <f t="shared" si="14"/>
        <v>6.25E-2</v>
      </c>
      <c r="K18" s="4">
        <f t="shared" si="14"/>
        <v>5.8823529411764705E-2</v>
      </c>
      <c r="L18" s="4">
        <f t="shared" si="14"/>
        <v>5.5555555555555552E-2</v>
      </c>
      <c r="M18" s="4">
        <f t="shared" si="3"/>
        <v>1.0451080781963136</v>
      </c>
      <c r="N18" s="3"/>
    </row>
    <row r="19" spans="1:14" x14ac:dyDescent="0.2">
      <c r="A19" s="4">
        <f>-1/(INT((ROW()+1)/2)+COLUMN()-4)</f>
        <v>-0.14285714285714285</v>
      </c>
      <c r="B19" s="4">
        <f t="shared" ref="B19:L19" si="15">-1/(INT((ROW()+1)/2)+COLUMN()-4)</f>
        <v>-0.125</v>
      </c>
      <c r="C19" s="4">
        <f t="shared" si="15"/>
        <v>-0.1111111111111111</v>
      </c>
      <c r="D19" s="4">
        <f t="shared" si="15"/>
        <v>-0.1</v>
      </c>
      <c r="E19" s="4">
        <f t="shared" si="15"/>
        <v>-9.0909090909090912E-2</v>
      </c>
      <c r="F19" s="4">
        <f t="shared" si="15"/>
        <v>-8.3333333333333329E-2</v>
      </c>
      <c r="G19" s="4">
        <f t="shared" si="15"/>
        <v>-7.6923076923076927E-2</v>
      </c>
      <c r="H19" s="4">
        <f t="shared" si="15"/>
        <v>-7.1428571428571425E-2</v>
      </c>
      <c r="I19" s="4">
        <f t="shared" si="15"/>
        <v>-6.6666666666666666E-2</v>
      </c>
      <c r="J19" s="4">
        <f t="shared" si="15"/>
        <v>-6.25E-2</v>
      </c>
      <c r="K19" s="4">
        <f t="shared" si="15"/>
        <v>-5.8823529411764705E-2</v>
      </c>
      <c r="L19" s="4">
        <f t="shared" si="15"/>
        <v>-5.5555555555555552E-2</v>
      </c>
      <c r="M19" s="4">
        <f t="shared" si="3"/>
        <v>-1.0451080781963136</v>
      </c>
      <c r="N19" s="3"/>
    </row>
    <row r="20" spans="1:14" x14ac:dyDescent="0.2">
      <c r="A20" s="4">
        <f>1/(INT((ROW()+1)/2)+COLUMN()-3)</f>
        <v>0.125</v>
      </c>
      <c r="B20" s="4">
        <f t="shared" ref="B20:L20" si="16">1/(INT((ROW()+1)/2)+COLUMN()-3)</f>
        <v>0.1111111111111111</v>
      </c>
      <c r="C20" s="4">
        <f t="shared" si="16"/>
        <v>0.1</v>
      </c>
      <c r="D20" s="4">
        <f t="shared" si="16"/>
        <v>9.0909090909090912E-2</v>
      </c>
      <c r="E20" s="4">
        <f t="shared" si="16"/>
        <v>8.3333333333333329E-2</v>
      </c>
      <c r="F20" s="4">
        <f t="shared" si="16"/>
        <v>7.6923076923076927E-2</v>
      </c>
      <c r="G20" s="4">
        <f t="shared" si="16"/>
        <v>7.1428571428571425E-2</v>
      </c>
      <c r="H20" s="4">
        <f t="shared" si="16"/>
        <v>6.6666666666666666E-2</v>
      </c>
      <c r="I20" s="4">
        <f t="shared" si="16"/>
        <v>6.25E-2</v>
      </c>
      <c r="J20" s="4">
        <f t="shared" si="16"/>
        <v>5.8823529411764705E-2</v>
      </c>
      <c r="K20" s="4">
        <f t="shared" si="16"/>
        <v>5.5555555555555552E-2</v>
      </c>
      <c r="L20" s="4">
        <f t="shared" si="16"/>
        <v>5.2631578947368418E-2</v>
      </c>
      <c r="M20" s="4">
        <f t="shared" si="3"/>
        <v>0.95488251428653914</v>
      </c>
      <c r="N20" s="3"/>
    </row>
    <row r="21" spans="1:14" x14ac:dyDescent="0.2">
      <c r="A21" s="4">
        <f>-1/(INT((ROW()+1)/2)+COLUMN()-4)</f>
        <v>-0.125</v>
      </c>
      <c r="B21" s="4">
        <f t="shared" ref="B21:L21" si="17">-1/(INT((ROW()+1)/2)+COLUMN()-4)</f>
        <v>-0.1111111111111111</v>
      </c>
      <c r="C21" s="4">
        <f t="shared" si="17"/>
        <v>-0.1</v>
      </c>
      <c r="D21" s="4">
        <f t="shared" si="17"/>
        <v>-9.0909090909090912E-2</v>
      </c>
      <c r="E21" s="4">
        <f t="shared" si="17"/>
        <v>-8.3333333333333329E-2</v>
      </c>
      <c r="F21" s="4">
        <f t="shared" si="17"/>
        <v>-7.6923076923076927E-2</v>
      </c>
      <c r="G21" s="4">
        <f t="shared" si="17"/>
        <v>-7.1428571428571425E-2</v>
      </c>
      <c r="H21" s="4">
        <f t="shared" si="17"/>
        <v>-6.6666666666666666E-2</v>
      </c>
      <c r="I21" s="4">
        <f t="shared" si="17"/>
        <v>-6.25E-2</v>
      </c>
      <c r="J21" s="4">
        <f t="shared" si="17"/>
        <v>-5.8823529411764705E-2</v>
      </c>
      <c r="K21" s="4">
        <f t="shared" si="17"/>
        <v>-5.5555555555555552E-2</v>
      </c>
      <c r="L21" s="4">
        <f t="shared" si="17"/>
        <v>-5.2631578947368418E-2</v>
      </c>
      <c r="M21" s="4">
        <f t="shared" si="3"/>
        <v>-0.95488251428653914</v>
      </c>
      <c r="N21" s="3"/>
    </row>
    <row r="22" spans="1:14" x14ac:dyDescent="0.2">
      <c r="A22" s="4">
        <f>1/(INT((ROW()+1)/2)+COLUMN()-3)</f>
        <v>0.1111111111111111</v>
      </c>
      <c r="B22" s="4">
        <f t="shared" ref="B22:L22" si="18">1/(INT((ROW()+1)/2)+COLUMN()-3)</f>
        <v>0.1</v>
      </c>
      <c r="C22" s="4">
        <f t="shared" si="18"/>
        <v>9.0909090909090912E-2</v>
      </c>
      <c r="D22" s="4">
        <f t="shared" si="18"/>
        <v>8.3333333333333329E-2</v>
      </c>
      <c r="E22" s="4">
        <f t="shared" si="18"/>
        <v>7.6923076923076927E-2</v>
      </c>
      <c r="F22" s="4">
        <f t="shared" si="18"/>
        <v>7.1428571428571425E-2</v>
      </c>
      <c r="G22" s="4">
        <f t="shared" si="18"/>
        <v>6.6666666666666666E-2</v>
      </c>
      <c r="H22" s="4">
        <f t="shared" si="18"/>
        <v>6.25E-2</v>
      </c>
      <c r="I22" s="4">
        <f t="shared" si="18"/>
        <v>5.8823529411764705E-2</v>
      </c>
      <c r="J22" s="4">
        <f t="shared" si="18"/>
        <v>5.5555555555555552E-2</v>
      </c>
      <c r="K22" s="4">
        <f t="shared" si="18"/>
        <v>5.2631578947368418E-2</v>
      </c>
      <c r="L22" s="4">
        <f t="shared" si="18"/>
        <v>0.05</v>
      </c>
      <c r="M22" s="4">
        <f t="shared" si="3"/>
        <v>0.87988251428653919</v>
      </c>
      <c r="N22" s="3"/>
    </row>
    <row r="23" spans="1:14" x14ac:dyDescent="0.2">
      <c r="A23" s="4">
        <f>-1/(INT((ROW()+1)/2)+COLUMN()-4)</f>
        <v>-0.1111111111111111</v>
      </c>
      <c r="B23" s="4">
        <f t="shared" ref="B23:L23" si="19">-1/(INT((ROW()+1)/2)+COLUMN()-4)</f>
        <v>-0.1</v>
      </c>
      <c r="C23" s="4">
        <f t="shared" si="19"/>
        <v>-9.0909090909090912E-2</v>
      </c>
      <c r="D23" s="4">
        <f t="shared" si="19"/>
        <v>-8.3333333333333329E-2</v>
      </c>
      <c r="E23" s="4">
        <f t="shared" si="19"/>
        <v>-7.6923076923076927E-2</v>
      </c>
      <c r="F23" s="4">
        <f t="shared" si="19"/>
        <v>-7.1428571428571425E-2</v>
      </c>
      <c r="G23" s="4">
        <f t="shared" si="19"/>
        <v>-6.6666666666666666E-2</v>
      </c>
      <c r="H23" s="4">
        <f t="shared" si="19"/>
        <v>-6.25E-2</v>
      </c>
      <c r="I23" s="4">
        <f t="shared" si="19"/>
        <v>-5.8823529411764705E-2</v>
      </c>
      <c r="J23" s="4">
        <f t="shared" si="19"/>
        <v>-5.5555555555555552E-2</v>
      </c>
      <c r="K23" s="4">
        <f t="shared" si="19"/>
        <v>-5.2631578947368418E-2</v>
      </c>
      <c r="L23" s="4">
        <f t="shared" si="19"/>
        <v>-0.05</v>
      </c>
      <c r="M23" s="4">
        <f t="shared" si="3"/>
        <v>-0.87988251428653919</v>
      </c>
      <c r="N23" s="3"/>
    </row>
    <row r="24" spans="1:14" x14ac:dyDescent="0.2">
      <c r="A24" s="4">
        <f>1/(INT((ROW()+1)/2)+COLUMN()-3)</f>
        <v>0.1</v>
      </c>
      <c r="B24" s="4">
        <f t="shared" ref="B24:L24" si="20">1/(INT((ROW()+1)/2)+COLUMN()-3)</f>
        <v>9.0909090909090912E-2</v>
      </c>
      <c r="C24" s="4">
        <f t="shared" si="20"/>
        <v>8.3333333333333329E-2</v>
      </c>
      <c r="D24" s="4">
        <f t="shared" si="20"/>
        <v>7.6923076923076927E-2</v>
      </c>
      <c r="E24" s="4">
        <f t="shared" si="20"/>
        <v>7.1428571428571425E-2</v>
      </c>
      <c r="F24" s="4">
        <f t="shared" si="20"/>
        <v>6.6666666666666666E-2</v>
      </c>
      <c r="G24" s="4">
        <f t="shared" si="20"/>
        <v>6.25E-2</v>
      </c>
      <c r="H24" s="4">
        <f t="shared" si="20"/>
        <v>5.8823529411764705E-2</v>
      </c>
      <c r="I24" s="4">
        <f t="shared" si="20"/>
        <v>5.5555555555555552E-2</v>
      </c>
      <c r="J24" s="4">
        <f t="shared" si="20"/>
        <v>5.2631578947368418E-2</v>
      </c>
      <c r="K24" s="4">
        <f t="shared" si="20"/>
        <v>0.05</v>
      </c>
      <c r="L24" s="4">
        <f t="shared" si="20"/>
        <v>4.7619047619047616E-2</v>
      </c>
      <c r="M24" s="4">
        <f t="shared" si="3"/>
        <v>0.8163904507944757</v>
      </c>
      <c r="N24" s="3"/>
    </row>
    <row r="25" spans="1:14" x14ac:dyDescent="0.2">
      <c r="A25" s="4">
        <f>-1/(INT((ROW()+1)/2)+COLUMN()-4)</f>
        <v>-0.1</v>
      </c>
      <c r="B25" s="4">
        <f t="shared" ref="B25:L25" si="21">-1/(INT((ROW()+1)/2)+COLUMN()-4)</f>
        <v>-9.0909090909090912E-2</v>
      </c>
      <c r="C25" s="4">
        <f t="shared" si="21"/>
        <v>-8.3333333333333329E-2</v>
      </c>
      <c r="D25" s="4">
        <f t="shared" si="21"/>
        <v>-7.6923076923076927E-2</v>
      </c>
      <c r="E25" s="4">
        <f t="shared" si="21"/>
        <v>-7.1428571428571425E-2</v>
      </c>
      <c r="F25" s="4">
        <f t="shared" si="21"/>
        <v>-6.6666666666666666E-2</v>
      </c>
      <c r="G25" s="4">
        <f t="shared" si="21"/>
        <v>-6.25E-2</v>
      </c>
      <c r="H25" s="4">
        <f t="shared" si="21"/>
        <v>-5.8823529411764705E-2</v>
      </c>
      <c r="I25" s="4">
        <f t="shared" si="21"/>
        <v>-5.5555555555555552E-2</v>
      </c>
      <c r="J25" s="4">
        <f t="shared" si="21"/>
        <v>-5.2631578947368418E-2</v>
      </c>
      <c r="K25" s="4">
        <f t="shared" si="21"/>
        <v>-0.05</v>
      </c>
      <c r="L25" s="4">
        <f t="shared" si="21"/>
        <v>-4.7619047619047616E-2</v>
      </c>
      <c r="M25" s="4">
        <f t="shared" si="3"/>
        <v>-0.8163904507944757</v>
      </c>
      <c r="N25" s="3"/>
    </row>
    <row r="26" spans="1:14" x14ac:dyDescent="0.2">
      <c r="A26" s="4">
        <f>1/(INT((ROW()+1)/2)+COLUMN()-3)</f>
        <v>9.0909090909090912E-2</v>
      </c>
      <c r="B26" s="4">
        <f t="shared" ref="B26:L26" si="22">1/(INT((ROW()+1)/2)+COLUMN()-3)</f>
        <v>8.3333333333333329E-2</v>
      </c>
      <c r="C26" s="4">
        <f t="shared" si="22"/>
        <v>7.6923076923076927E-2</v>
      </c>
      <c r="D26" s="4">
        <f t="shared" si="22"/>
        <v>7.1428571428571425E-2</v>
      </c>
      <c r="E26" s="4">
        <f t="shared" si="22"/>
        <v>6.6666666666666666E-2</v>
      </c>
      <c r="F26" s="4">
        <f t="shared" si="22"/>
        <v>6.25E-2</v>
      </c>
      <c r="G26" s="4">
        <f t="shared" si="22"/>
        <v>5.8823529411764705E-2</v>
      </c>
      <c r="H26" s="4">
        <f t="shared" si="22"/>
        <v>5.5555555555555552E-2</v>
      </c>
      <c r="I26" s="4">
        <f t="shared" si="22"/>
        <v>5.2631578947368418E-2</v>
      </c>
      <c r="J26" s="4">
        <f t="shared" si="22"/>
        <v>0.05</v>
      </c>
      <c r="K26" s="4">
        <f t="shared" si="22"/>
        <v>4.7619047619047616E-2</v>
      </c>
      <c r="L26" s="4">
        <f t="shared" si="22"/>
        <v>4.5454545454545456E-2</v>
      </c>
      <c r="M26" s="4">
        <f t="shared" si="3"/>
        <v>0.76184499624902102</v>
      </c>
      <c r="N26" s="3"/>
    </row>
    <row r="27" spans="1:14" x14ac:dyDescent="0.2">
      <c r="A27" s="4">
        <f>-1/(INT((ROW()+1)/2)+COLUMN()-4)</f>
        <v>-9.0909090909090912E-2</v>
      </c>
      <c r="B27" s="4">
        <f t="shared" ref="B27:L27" si="23">-1/(INT((ROW()+1)/2)+COLUMN()-4)</f>
        <v>-8.3333333333333329E-2</v>
      </c>
      <c r="C27" s="4">
        <f t="shared" si="23"/>
        <v>-7.6923076923076927E-2</v>
      </c>
      <c r="D27" s="4">
        <f t="shared" si="23"/>
        <v>-7.1428571428571425E-2</v>
      </c>
      <c r="E27" s="4">
        <f t="shared" si="23"/>
        <v>-6.6666666666666666E-2</v>
      </c>
      <c r="F27" s="4">
        <f t="shared" si="23"/>
        <v>-6.25E-2</v>
      </c>
      <c r="G27" s="4">
        <f t="shared" si="23"/>
        <v>-5.8823529411764705E-2</v>
      </c>
      <c r="H27" s="4">
        <f t="shared" si="23"/>
        <v>-5.5555555555555552E-2</v>
      </c>
      <c r="I27" s="4">
        <f t="shared" si="23"/>
        <v>-5.2631578947368418E-2</v>
      </c>
      <c r="J27" s="4">
        <f t="shared" si="23"/>
        <v>-0.05</v>
      </c>
      <c r="K27" s="4">
        <f t="shared" si="23"/>
        <v>-4.7619047619047616E-2</v>
      </c>
      <c r="L27" s="4">
        <f t="shared" si="23"/>
        <v>-4.5454545454545456E-2</v>
      </c>
      <c r="M27" s="4">
        <f t="shared" si="3"/>
        <v>-0.76184499624902102</v>
      </c>
      <c r="N27" s="3"/>
    </row>
    <row r="28" spans="1:14" x14ac:dyDescent="0.2">
      <c r="A28" s="4">
        <f>1/(INT((ROW()+1)/2)+COLUMN()-3)</f>
        <v>8.3333333333333329E-2</v>
      </c>
      <c r="B28" s="4">
        <f t="shared" ref="B28:L28" si="24">1/(INT((ROW()+1)/2)+COLUMN()-3)</f>
        <v>7.6923076923076927E-2</v>
      </c>
      <c r="C28" s="4">
        <f t="shared" si="24"/>
        <v>7.1428571428571425E-2</v>
      </c>
      <c r="D28" s="4">
        <f t="shared" si="24"/>
        <v>6.6666666666666666E-2</v>
      </c>
      <c r="E28" s="4">
        <f t="shared" si="24"/>
        <v>6.25E-2</v>
      </c>
      <c r="F28" s="4">
        <f t="shared" si="24"/>
        <v>5.8823529411764705E-2</v>
      </c>
      <c r="G28" s="4">
        <f t="shared" si="24"/>
        <v>5.5555555555555552E-2</v>
      </c>
      <c r="H28" s="4">
        <f t="shared" si="24"/>
        <v>5.2631578947368418E-2</v>
      </c>
      <c r="I28" s="4">
        <f t="shared" si="24"/>
        <v>0.05</v>
      </c>
      <c r="J28" s="4">
        <f t="shared" si="24"/>
        <v>4.7619047619047616E-2</v>
      </c>
      <c r="K28" s="4">
        <f t="shared" si="24"/>
        <v>4.5454545454545456E-2</v>
      </c>
      <c r="L28" s="4">
        <f t="shared" si="24"/>
        <v>4.3478260869565216E-2</v>
      </c>
      <c r="M28" s="4">
        <f t="shared" si="3"/>
        <v>0.71441416620949538</v>
      </c>
      <c r="N28" s="3"/>
    </row>
    <row r="29" spans="1:14" x14ac:dyDescent="0.2">
      <c r="A29" s="4">
        <f>-1/(INT((ROW()+1)/2)+COLUMN()-4)</f>
        <v>-8.3333333333333329E-2</v>
      </c>
      <c r="B29" s="4">
        <f t="shared" ref="B29:L29" si="25">-1/(INT((ROW()+1)/2)+COLUMN()-4)</f>
        <v>-7.6923076923076927E-2</v>
      </c>
      <c r="C29" s="4">
        <f t="shared" si="25"/>
        <v>-7.1428571428571425E-2</v>
      </c>
      <c r="D29" s="4">
        <f t="shared" si="25"/>
        <v>-6.6666666666666666E-2</v>
      </c>
      <c r="E29" s="4">
        <f t="shared" si="25"/>
        <v>-6.25E-2</v>
      </c>
      <c r="F29" s="4">
        <f t="shared" si="25"/>
        <v>-5.8823529411764705E-2</v>
      </c>
      <c r="G29" s="4">
        <f t="shared" si="25"/>
        <v>-5.5555555555555552E-2</v>
      </c>
      <c r="H29" s="4">
        <f t="shared" si="25"/>
        <v>-5.2631578947368418E-2</v>
      </c>
      <c r="I29" s="4">
        <f t="shared" si="25"/>
        <v>-0.05</v>
      </c>
      <c r="J29" s="4">
        <f t="shared" si="25"/>
        <v>-4.7619047619047616E-2</v>
      </c>
      <c r="K29" s="4">
        <f t="shared" si="25"/>
        <v>-4.5454545454545456E-2</v>
      </c>
      <c r="L29" s="4">
        <f t="shared" si="25"/>
        <v>-4.3478260869565216E-2</v>
      </c>
      <c r="M29" s="4">
        <f t="shared" si="3"/>
        <v>-0.71441416620949538</v>
      </c>
      <c r="N29" s="3"/>
    </row>
    <row r="30" spans="1:14" x14ac:dyDescent="0.2">
      <c r="A30" s="6">
        <v>0.99999999251425387</v>
      </c>
      <c r="B30" s="6">
        <v>1.000000912994379</v>
      </c>
      <c r="C30" s="6">
        <v>0.99997206257308779</v>
      </c>
      <c r="D30" s="6">
        <v>1.0003730692438324</v>
      </c>
      <c r="E30" s="6">
        <v>0.99730619576861368</v>
      </c>
      <c r="F30" s="6">
        <v>1.0116988497295465</v>
      </c>
      <c r="G30" s="6">
        <v>0.96770018022203896</v>
      </c>
      <c r="H30" s="6">
        <v>1.0580436925301722</v>
      </c>
      <c r="I30" s="6">
        <v>0.93234868129407988</v>
      </c>
      <c r="J30" s="6">
        <v>1.0493100058556228</v>
      </c>
      <c r="K30" s="6">
        <v>0.97957910520391633</v>
      </c>
      <c r="L30" s="6">
        <v>1.0036672563845239</v>
      </c>
      <c r="M30" s="6">
        <v>-16.145939989027884</v>
      </c>
      <c r="N30" s="7" t="s">
        <v>45</v>
      </c>
    </row>
    <row r="31" spans="1:14" x14ac:dyDescent="0.2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9">
        <v>34</v>
      </c>
      <c r="N31" s="7" t="s">
        <v>1</v>
      </c>
    </row>
    <row r="32" spans="1:14" x14ac:dyDescent="0.2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11">
        <f>MAX(MAX(A30:L30)-1,1-MIN(A30:L30))</f>
        <v>6.7651318705920116E-2</v>
      </c>
      <c r="N32" s="7" t="s">
        <v>2</v>
      </c>
    </row>
    <row r="33" spans="15:15" x14ac:dyDescent="0.2">
      <c r="O33" s="5"/>
    </row>
  </sheetData>
  <pageMargins left="0.70866141732283472" right="0.70866141732283472" top="0.74803149606299213" bottom="0.74803149606299213" header="0.31496062992125984" footer="0.31496062992125984"/>
  <pageSetup paperSize="9" scale="83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Button 3">
              <controlPr defaultSize="0" print="0" autoFill="0" autoLine="0" autoPict="0" macro="[0]!Simplex.Simplex">
                <anchor moveWithCells="1" sizeWithCells="1">
                  <from>
                    <xdr:col>4</xdr:col>
                    <xdr:colOff>28575</xdr:colOff>
                    <xdr:row>0</xdr:row>
                    <xdr:rowOff>66675</xdr:rowOff>
                  </from>
                  <to>
                    <xdr:col>6</xdr:col>
                    <xdr:colOff>190500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P34"/>
  <sheetViews>
    <sheetView topLeftCell="C13" workbookViewId="0">
      <selection activeCell="O32" sqref="O32"/>
    </sheetView>
  </sheetViews>
  <sheetFormatPr defaultRowHeight="12.75" x14ac:dyDescent="0.2"/>
  <cols>
    <col min="1" max="13" width="13.42578125" style="1" bestFit="1" customWidth="1"/>
    <col min="14" max="14" width="14.42578125" style="1" bestFit="1" customWidth="1"/>
    <col min="15" max="15" width="14.140625" style="2" bestFit="1" customWidth="1"/>
    <col min="16" max="16384" width="9.140625" style="1"/>
  </cols>
  <sheetData>
    <row r="1" spans="1:15" x14ac:dyDescent="0.2">
      <c r="A1" s="1" t="s">
        <v>18</v>
      </c>
      <c r="B1" s="1" t="s">
        <v>19</v>
      </c>
    </row>
    <row r="2" spans="1:15" x14ac:dyDescent="0.2">
      <c r="A2" s="3">
        <v>13</v>
      </c>
      <c r="B2" s="1" t="s">
        <v>4</v>
      </c>
    </row>
    <row r="3" spans="1:15" x14ac:dyDescent="0.2">
      <c r="A3" s="3">
        <v>26</v>
      </c>
      <c r="B3" s="1" t="s">
        <v>5</v>
      </c>
    </row>
    <row r="4" spans="1:15" x14ac:dyDescent="0.2">
      <c r="A4" s="2" t="s">
        <v>6</v>
      </c>
      <c r="B4" s="2" t="s">
        <v>7</v>
      </c>
      <c r="C4" s="2" t="s">
        <v>8</v>
      </c>
      <c r="D4" s="2" t="s">
        <v>9</v>
      </c>
      <c r="E4" s="2" t="s">
        <v>10</v>
      </c>
      <c r="F4" s="2" t="s">
        <v>11</v>
      </c>
      <c r="G4" s="2" t="s">
        <v>12</v>
      </c>
      <c r="H4" s="2" t="s">
        <v>13</v>
      </c>
      <c r="I4" s="2" t="s">
        <v>14</v>
      </c>
      <c r="J4" s="2" t="s">
        <v>15</v>
      </c>
      <c r="K4" s="2" t="s">
        <v>16</v>
      </c>
      <c r="L4" s="2" t="s">
        <v>17</v>
      </c>
      <c r="M4" s="2" t="s">
        <v>20</v>
      </c>
      <c r="N4" s="10" t="s">
        <v>3</v>
      </c>
    </row>
    <row r="5" spans="1:15" x14ac:dyDescent="0.2">
      <c r="A5" s="4">
        <f t="shared" ref="A5:M5" si="0">SUMIF(A6:A31,"&lt;0")</f>
        <v>-3.1801337551337552</v>
      </c>
      <c r="B5" s="4">
        <f t="shared" si="0"/>
        <v>-2.2515623265623272</v>
      </c>
      <c r="C5" s="4">
        <f t="shared" si="0"/>
        <v>-1.818228993228993</v>
      </c>
      <c r="D5" s="4">
        <f t="shared" si="0"/>
        <v>-1.5473956598956597</v>
      </c>
      <c r="E5" s="4">
        <f t="shared" si="0"/>
        <v>-1.3562191893074245</v>
      </c>
      <c r="F5" s="4">
        <f t="shared" si="0"/>
        <v>-1.2117747448629803</v>
      </c>
      <c r="G5" s="4">
        <f t="shared" si="0"/>
        <v>-1.0977396571436819</v>
      </c>
      <c r="H5" s="4">
        <f t="shared" si="0"/>
        <v>-1.0048825142865392</v>
      </c>
      <c r="I5" s="4">
        <f t="shared" si="0"/>
        <v>-0.92750156190558686</v>
      </c>
      <c r="J5" s="4">
        <f t="shared" si="0"/>
        <v>-0.86184499624902111</v>
      </c>
      <c r="K5" s="4">
        <f t="shared" si="0"/>
        <v>-0.80532325711858621</v>
      </c>
      <c r="L5" s="4">
        <f t="shared" si="0"/>
        <v>-0.75608083287616201</v>
      </c>
      <c r="M5" s="4">
        <f t="shared" si="0"/>
        <v>-0.71274749954282857</v>
      </c>
    </row>
    <row r="6" spans="1:15" x14ac:dyDescent="0.2">
      <c r="A6" s="4">
        <f>1/(INT((ROW()+1)/2)+COLUMN()-3)</f>
        <v>1</v>
      </c>
      <c r="B6" s="4">
        <f t="shared" ref="B6:M6" si="1">1/(INT((ROW()+1)/2)+COLUMN()-3)</f>
        <v>0.5</v>
      </c>
      <c r="C6" s="4">
        <f t="shared" si="1"/>
        <v>0.33333333333333331</v>
      </c>
      <c r="D6" s="4">
        <f t="shared" si="1"/>
        <v>0.25</v>
      </c>
      <c r="E6" s="4">
        <f t="shared" si="1"/>
        <v>0.2</v>
      </c>
      <c r="F6" s="4">
        <f t="shared" si="1"/>
        <v>0.16666666666666666</v>
      </c>
      <c r="G6" s="4">
        <f t="shared" si="1"/>
        <v>0.14285714285714285</v>
      </c>
      <c r="H6" s="4">
        <f t="shared" si="1"/>
        <v>0.125</v>
      </c>
      <c r="I6" s="4">
        <f t="shared" si="1"/>
        <v>0.1111111111111111</v>
      </c>
      <c r="J6" s="4">
        <f t="shared" si="1"/>
        <v>0.1</v>
      </c>
      <c r="K6" s="4">
        <f t="shared" si="1"/>
        <v>9.0909090909090912E-2</v>
      </c>
      <c r="L6" s="4">
        <f t="shared" si="1"/>
        <v>8.3333333333333329E-2</v>
      </c>
      <c r="M6" s="4">
        <f t="shared" si="1"/>
        <v>7.6923076923076927E-2</v>
      </c>
      <c r="N6" s="4">
        <f>SUM(A6:M6)</f>
        <v>3.1801337551337552</v>
      </c>
      <c r="O6" s="3"/>
    </row>
    <row r="7" spans="1:15" x14ac:dyDescent="0.2">
      <c r="A7" s="4">
        <f>-1/(INT((ROW()+1)/2)+COLUMN()-4)</f>
        <v>-1</v>
      </c>
      <c r="B7" s="4">
        <f t="shared" ref="B7:M7" si="2">-1/(INT((ROW()+1)/2)+COLUMN()-4)</f>
        <v>-0.5</v>
      </c>
      <c r="C7" s="4">
        <f t="shared" si="2"/>
        <v>-0.33333333333333331</v>
      </c>
      <c r="D7" s="4">
        <f t="shared" si="2"/>
        <v>-0.25</v>
      </c>
      <c r="E7" s="4">
        <f t="shared" si="2"/>
        <v>-0.2</v>
      </c>
      <c r="F7" s="4">
        <f t="shared" si="2"/>
        <v>-0.16666666666666666</v>
      </c>
      <c r="G7" s="4">
        <f t="shared" si="2"/>
        <v>-0.14285714285714285</v>
      </c>
      <c r="H7" s="4">
        <f t="shared" si="2"/>
        <v>-0.125</v>
      </c>
      <c r="I7" s="4">
        <f t="shared" si="2"/>
        <v>-0.1111111111111111</v>
      </c>
      <c r="J7" s="4">
        <f t="shared" si="2"/>
        <v>-0.1</v>
      </c>
      <c r="K7" s="4">
        <f t="shared" si="2"/>
        <v>-9.0909090909090912E-2</v>
      </c>
      <c r="L7" s="4">
        <f t="shared" si="2"/>
        <v>-8.3333333333333329E-2</v>
      </c>
      <c r="M7" s="4">
        <f t="shared" si="2"/>
        <v>-7.6923076923076927E-2</v>
      </c>
      <c r="N7" s="4">
        <f t="shared" ref="N7:N31" si="3">SUM(A7:M7)</f>
        <v>-3.1801337551337552</v>
      </c>
      <c r="O7" s="3"/>
    </row>
    <row r="8" spans="1:15" x14ac:dyDescent="0.2">
      <c r="A8" s="4">
        <f>1/(INT((ROW()+1)/2)+COLUMN()-3)</f>
        <v>0.5</v>
      </c>
      <c r="B8" s="4">
        <f t="shared" ref="B8:M8" si="4">1/(INT((ROW()+1)/2)+COLUMN()-3)</f>
        <v>0.33333333333333331</v>
      </c>
      <c r="C8" s="4">
        <f t="shared" si="4"/>
        <v>0.25</v>
      </c>
      <c r="D8" s="4">
        <f t="shared" si="4"/>
        <v>0.2</v>
      </c>
      <c r="E8" s="4">
        <f t="shared" si="4"/>
        <v>0.16666666666666666</v>
      </c>
      <c r="F8" s="4">
        <f t="shared" si="4"/>
        <v>0.14285714285714285</v>
      </c>
      <c r="G8" s="4">
        <f t="shared" si="4"/>
        <v>0.125</v>
      </c>
      <c r="H8" s="4">
        <f t="shared" si="4"/>
        <v>0.1111111111111111</v>
      </c>
      <c r="I8" s="4">
        <f t="shared" si="4"/>
        <v>0.1</v>
      </c>
      <c r="J8" s="4">
        <f t="shared" si="4"/>
        <v>9.0909090909090912E-2</v>
      </c>
      <c r="K8" s="4">
        <f t="shared" si="4"/>
        <v>8.3333333333333329E-2</v>
      </c>
      <c r="L8" s="4">
        <f t="shared" si="4"/>
        <v>7.6923076923076927E-2</v>
      </c>
      <c r="M8" s="4">
        <f t="shared" si="4"/>
        <v>7.1428571428571425E-2</v>
      </c>
      <c r="N8" s="4">
        <f t="shared" si="3"/>
        <v>2.2515623265623272</v>
      </c>
      <c r="O8" s="3"/>
    </row>
    <row r="9" spans="1:15" x14ac:dyDescent="0.2">
      <c r="A9" s="4">
        <f>-1/(INT((ROW()+1)/2)+COLUMN()-4)</f>
        <v>-0.5</v>
      </c>
      <c r="B9" s="4">
        <f t="shared" ref="B9:M9" si="5">-1/(INT((ROW()+1)/2)+COLUMN()-4)</f>
        <v>-0.33333333333333331</v>
      </c>
      <c r="C9" s="4">
        <f t="shared" si="5"/>
        <v>-0.25</v>
      </c>
      <c r="D9" s="4">
        <f t="shared" si="5"/>
        <v>-0.2</v>
      </c>
      <c r="E9" s="4">
        <f t="shared" si="5"/>
        <v>-0.16666666666666666</v>
      </c>
      <c r="F9" s="4">
        <f t="shared" si="5"/>
        <v>-0.14285714285714285</v>
      </c>
      <c r="G9" s="4">
        <f t="shared" si="5"/>
        <v>-0.125</v>
      </c>
      <c r="H9" s="4">
        <f t="shared" si="5"/>
        <v>-0.1111111111111111</v>
      </c>
      <c r="I9" s="4">
        <f t="shared" si="5"/>
        <v>-0.1</v>
      </c>
      <c r="J9" s="4">
        <f t="shared" si="5"/>
        <v>-9.0909090909090912E-2</v>
      </c>
      <c r="K9" s="4">
        <f t="shared" si="5"/>
        <v>-8.3333333333333329E-2</v>
      </c>
      <c r="L9" s="4">
        <f t="shared" si="5"/>
        <v>-7.6923076923076927E-2</v>
      </c>
      <c r="M9" s="4">
        <f t="shared" si="5"/>
        <v>-7.1428571428571425E-2</v>
      </c>
      <c r="N9" s="4">
        <f t="shared" si="3"/>
        <v>-2.2515623265623272</v>
      </c>
      <c r="O9" s="3"/>
    </row>
    <row r="10" spans="1:15" x14ac:dyDescent="0.2">
      <c r="A10" s="4">
        <f>1/(INT((ROW()+1)/2)+COLUMN()-3)</f>
        <v>0.33333333333333331</v>
      </c>
      <c r="B10" s="4">
        <f t="shared" ref="B10:M10" si="6">1/(INT((ROW()+1)/2)+COLUMN()-3)</f>
        <v>0.25</v>
      </c>
      <c r="C10" s="4">
        <f t="shared" si="6"/>
        <v>0.2</v>
      </c>
      <c r="D10" s="4">
        <f t="shared" si="6"/>
        <v>0.16666666666666666</v>
      </c>
      <c r="E10" s="4">
        <f t="shared" si="6"/>
        <v>0.14285714285714285</v>
      </c>
      <c r="F10" s="4">
        <f t="shared" si="6"/>
        <v>0.125</v>
      </c>
      <c r="G10" s="4">
        <f t="shared" si="6"/>
        <v>0.1111111111111111</v>
      </c>
      <c r="H10" s="4">
        <f t="shared" si="6"/>
        <v>0.1</v>
      </c>
      <c r="I10" s="4">
        <f t="shared" si="6"/>
        <v>9.0909090909090912E-2</v>
      </c>
      <c r="J10" s="4">
        <f t="shared" si="6"/>
        <v>8.3333333333333329E-2</v>
      </c>
      <c r="K10" s="4">
        <f t="shared" si="6"/>
        <v>7.6923076923076927E-2</v>
      </c>
      <c r="L10" s="4">
        <f t="shared" si="6"/>
        <v>7.1428571428571425E-2</v>
      </c>
      <c r="M10" s="4">
        <f t="shared" si="6"/>
        <v>6.6666666666666666E-2</v>
      </c>
      <c r="N10" s="4">
        <f t="shared" si="3"/>
        <v>1.818228993228993</v>
      </c>
      <c r="O10" s="3"/>
    </row>
    <row r="11" spans="1:15" x14ac:dyDescent="0.2">
      <c r="A11" s="4">
        <f>-1/(INT((ROW()+1)/2)+COLUMN()-4)</f>
        <v>-0.33333333333333331</v>
      </c>
      <c r="B11" s="4">
        <f t="shared" ref="B11:M11" si="7">-1/(INT((ROW()+1)/2)+COLUMN()-4)</f>
        <v>-0.25</v>
      </c>
      <c r="C11" s="4">
        <f t="shared" si="7"/>
        <v>-0.2</v>
      </c>
      <c r="D11" s="4">
        <f t="shared" si="7"/>
        <v>-0.16666666666666666</v>
      </c>
      <c r="E11" s="4">
        <f t="shared" si="7"/>
        <v>-0.14285714285714285</v>
      </c>
      <c r="F11" s="4">
        <f t="shared" si="7"/>
        <v>-0.125</v>
      </c>
      <c r="G11" s="4">
        <f t="shared" si="7"/>
        <v>-0.1111111111111111</v>
      </c>
      <c r="H11" s="4">
        <f t="shared" si="7"/>
        <v>-0.1</v>
      </c>
      <c r="I11" s="4">
        <f t="shared" si="7"/>
        <v>-9.0909090909090912E-2</v>
      </c>
      <c r="J11" s="4">
        <f t="shared" si="7"/>
        <v>-8.3333333333333329E-2</v>
      </c>
      <c r="K11" s="4">
        <f t="shared" si="7"/>
        <v>-7.6923076923076927E-2</v>
      </c>
      <c r="L11" s="4">
        <f t="shared" si="7"/>
        <v>-7.1428571428571425E-2</v>
      </c>
      <c r="M11" s="4">
        <f t="shared" si="7"/>
        <v>-6.6666666666666666E-2</v>
      </c>
      <c r="N11" s="4">
        <f t="shared" si="3"/>
        <v>-1.818228993228993</v>
      </c>
      <c r="O11" s="3"/>
    </row>
    <row r="12" spans="1:15" x14ac:dyDescent="0.2">
      <c r="A12" s="4">
        <f>1/(INT((ROW()+1)/2)+COLUMN()-3)</f>
        <v>0.25</v>
      </c>
      <c r="B12" s="4">
        <f t="shared" ref="B12:M12" si="8">1/(INT((ROW()+1)/2)+COLUMN()-3)</f>
        <v>0.2</v>
      </c>
      <c r="C12" s="4">
        <f t="shared" si="8"/>
        <v>0.16666666666666666</v>
      </c>
      <c r="D12" s="4">
        <f t="shared" si="8"/>
        <v>0.14285714285714285</v>
      </c>
      <c r="E12" s="4">
        <f t="shared" si="8"/>
        <v>0.125</v>
      </c>
      <c r="F12" s="4">
        <f t="shared" si="8"/>
        <v>0.1111111111111111</v>
      </c>
      <c r="G12" s="4">
        <f t="shared" si="8"/>
        <v>0.1</v>
      </c>
      <c r="H12" s="4">
        <f t="shared" si="8"/>
        <v>9.0909090909090912E-2</v>
      </c>
      <c r="I12" s="4">
        <f t="shared" si="8"/>
        <v>8.3333333333333329E-2</v>
      </c>
      <c r="J12" s="4">
        <f t="shared" si="8"/>
        <v>7.6923076923076927E-2</v>
      </c>
      <c r="K12" s="4">
        <f t="shared" si="8"/>
        <v>7.1428571428571425E-2</v>
      </c>
      <c r="L12" s="4">
        <f t="shared" si="8"/>
        <v>6.6666666666666666E-2</v>
      </c>
      <c r="M12" s="4">
        <f t="shared" si="8"/>
        <v>6.25E-2</v>
      </c>
      <c r="N12" s="4">
        <f t="shared" si="3"/>
        <v>1.5473956598956597</v>
      </c>
      <c r="O12" s="3"/>
    </row>
    <row r="13" spans="1:15" x14ac:dyDescent="0.2">
      <c r="A13" s="4">
        <f>-1/(INT((ROW()+1)/2)+COLUMN()-4)</f>
        <v>-0.25</v>
      </c>
      <c r="B13" s="4">
        <f t="shared" ref="B13:M13" si="9">-1/(INT((ROW()+1)/2)+COLUMN()-4)</f>
        <v>-0.2</v>
      </c>
      <c r="C13" s="4">
        <f t="shared" si="9"/>
        <v>-0.16666666666666666</v>
      </c>
      <c r="D13" s="4">
        <f t="shared" si="9"/>
        <v>-0.14285714285714285</v>
      </c>
      <c r="E13" s="4">
        <f t="shared" si="9"/>
        <v>-0.125</v>
      </c>
      <c r="F13" s="4">
        <f t="shared" si="9"/>
        <v>-0.1111111111111111</v>
      </c>
      <c r="G13" s="4">
        <f t="shared" si="9"/>
        <v>-0.1</v>
      </c>
      <c r="H13" s="4">
        <f t="shared" si="9"/>
        <v>-9.0909090909090912E-2</v>
      </c>
      <c r="I13" s="4">
        <f t="shared" si="9"/>
        <v>-8.3333333333333329E-2</v>
      </c>
      <c r="J13" s="4">
        <f t="shared" si="9"/>
        <v>-7.6923076923076927E-2</v>
      </c>
      <c r="K13" s="4">
        <f t="shared" si="9"/>
        <v>-7.1428571428571425E-2</v>
      </c>
      <c r="L13" s="4">
        <f t="shared" si="9"/>
        <v>-6.6666666666666666E-2</v>
      </c>
      <c r="M13" s="4">
        <f t="shared" si="9"/>
        <v>-6.25E-2</v>
      </c>
      <c r="N13" s="4">
        <f t="shared" si="3"/>
        <v>-1.5473956598956597</v>
      </c>
      <c r="O13" s="3"/>
    </row>
    <row r="14" spans="1:15" x14ac:dyDescent="0.2">
      <c r="A14" s="4">
        <f>1/(INT((ROW()+1)/2)+COLUMN()-3)</f>
        <v>0.2</v>
      </c>
      <c r="B14" s="4">
        <f t="shared" ref="B14:M14" si="10">1/(INT((ROW()+1)/2)+COLUMN()-3)</f>
        <v>0.16666666666666666</v>
      </c>
      <c r="C14" s="4">
        <f t="shared" si="10"/>
        <v>0.14285714285714285</v>
      </c>
      <c r="D14" s="4">
        <f t="shared" si="10"/>
        <v>0.125</v>
      </c>
      <c r="E14" s="4">
        <f t="shared" si="10"/>
        <v>0.1111111111111111</v>
      </c>
      <c r="F14" s="4">
        <f t="shared" si="10"/>
        <v>0.1</v>
      </c>
      <c r="G14" s="4">
        <f t="shared" si="10"/>
        <v>9.0909090909090912E-2</v>
      </c>
      <c r="H14" s="4">
        <f t="shared" si="10"/>
        <v>8.3333333333333329E-2</v>
      </c>
      <c r="I14" s="4">
        <f t="shared" si="10"/>
        <v>7.6923076923076927E-2</v>
      </c>
      <c r="J14" s="4">
        <f t="shared" si="10"/>
        <v>7.1428571428571425E-2</v>
      </c>
      <c r="K14" s="4">
        <f t="shared" si="10"/>
        <v>6.6666666666666666E-2</v>
      </c>
      <c r="L14" s="4">
        <f t="shared" si="10"/>
        <v>6.25E-2</v>
      </c>
      <c r="M14" s="4">
        <f t="shared" si="10"/>
        <v>5.8823529411764705E-2</v>
      </c>
      <c r="N14" s="4">
        <f t="shared" si="3"/>
        <v>1.3562191893074245</v>
      </c>
      <c r="O14" s="3"/>
    </row>
    <row r="15" spans="1:15" x14ac:dyDescent="0.2">
      <c r="A15" s="4">
        <f>-1/(INT((ROW()+1)/2)+COLUMN()-4)</f>
        <v>-0.2</v>
      </c>
      <c r="B15" s="4">
        <f t="shared" ref="B15:M15" si="11">-1/(INT((ROW()+1)/2)+COLUMN()-4)</f>
        <v>-0.16666666666666666</v>
      </c>
      <c r="C15" s="4">
        <f t="shared" si="11"/>
        <v>-0.14285714285714285</v>
      </c>
      <c r="D15" s="4">
        <f t="shared" si="11"/>
        <v>-0.125</v>
      </c>
      <c r="E15" s="4">
        <f t="shared" si="11"/>
        <v>-0.1111111111111111</v>
      </c>
      <c r="F15" s="4">
        <f t="shared" si="11"/>
        <v>-0.1</v>
      </c>
      <c r="G15" s="4">
        <f t="shared" si="11"/>
        <v>-9.0909090909090912E-2</v>
      </c>
      <c r="H15" s="4">
        <f t="shared" si="11"/>
        <v>-8.3333333333333329E-2</v>
      </c>
      <c r="I15" s="4">
        <f t="shared" si="11"/>
        <v>-7.6923076923076927E-2</v>
      </c>
      <c r="J15" s="4">
        <f t="shared" si="11"/>
        <v>-7.1428571428571425E-2</v>
      </c>
      <c r="K15" s="4">
        <f t="shared" si="11"/>
        <v>-6.6666666666666666E-2</v>
      </c>
      <c r="L15" s="4">
        <f t="shared" si="11"/>
        <v>-6.25E-2</v>
      </c>
      <c r="M15" s="4">
        <f t="shared" si="11"/>
        <v>-5.8823529411764705E-2</v>
      </c>
      <c r="N15" s="4">
        <f t="shared" si="3"/>
        <v>-1.3562191893074245</v>
      </c>
      <c r="O15" s="3"/>
    </row>
    <row r="16" spans="1:15" x14ac:dyDescent="0.2">
      <c r="A16" s="4">
        <f>1/(INT((ROW()+1)/2)+COLUMN()-3)</f>
        <v>0.16666666666666666</v>
      </c>
      <c r="B16" s="4">
        <f t="shared" ref="B16:M16" si="12">1/(INT((ROW()+1)/2)+COLUMN()-3)</f>
        <v>0.14285714285714285</v>
      </c>
      <c r="C16" s="4">
        <f t="shared" si="12"/>
        <v>0.125</v>
      </c>
      <c r="D16" s="4">
        <f t="shared" si="12"/>
        <v>0.1111111111111111</v>
      </c>
      <c r="E16" s="4">
        <f t="shared" si="12"/>
        <v>0.1</v>
      </c>
      <c r="F16" s="4">
        <f t="shared" si="12"/>
        <v>9.0909090909090912E-2</v>
      </c>
      <c r="G16" s="4">
        <f t="shared" si="12"/>
        <v>8.3333333333333329E-2</v>
      </c>
      <c r="H16" s="4">
        <f t="shared" si="12"/>
        <v>7.6923076923076927E-2</v>
      </c>
      <c r="I16" s="4">
        <f t="shared" si="12"/>
        <v>7.1428571428571425E-2</v>
      </c>
      <c r="J16" s="4">
        <f t="shared" si="12"/>
        <v>6.6666666666666666E-2</v>
      </c>
      <c r="K16" s="4">
        <f t="shared" si="12"/>
        <v>6.25E-2</v>
      </c>
      <c r="L16" s="4">
        <f t="shared" si="12"/>
        <v>5.8823529411764705E-2</v>
      </c>
      <c r="M16" s="4">
        <f t="shared" si="12"/>
        <v>5.5555555555555552E-2</v>
      </c>
      <c r="N16" s="4">
        <f t="shared" si="3"/>
        <v>1.2117747448629803</v>
      </c>
      <c r="O16" s="3"/>
    </row>
    <row r="17" spans="1:16" x14ac:dyDescent="0.2">
      <c r="A17" s="4">
        <f>-1/(INT((ROW()+1)/2)+COLUMN()-4)</f>
        <v>-0.16666666666666666</v>
      </c>
      <c r="B17" s="4">
        <f t="shared" ref="B17:M17" si="13">-1/(INT((ROW()+1)/2)+COLUMN()-4)</f>
        <v>-0.14285714285714285</v>
      </c>
      <c r="C17" s="4">
        <f t="shared" si="13"/>
        <v>-0.125</v>
      </c>
      <c r="D17" s="4">
        <f t="shared" si="13"/>
        <v>-0.1111111111111111</v>
      </c>
      <c r="E17" s="4">
        <f t="shared" si="13"/>
        <v>-0.1</v>
      </c>
      <c r="F17" s="4">
        <f t="shared" si="13"/>
        <v>-9.0909090909090912E-2</v>
      </c>
      <c r="G17" s="4">
        <f t="shared" si="13"/>
        <v>-8.3333333333333329E-2</v>
      </c>
      <c r="H17" s="4">
        <f t="shared" si="13"/>
        <v>-7.6923076923076927E-2</v>
      </c>
      <c r="I17" s="4">
        <f t="shared" si="13"/>
        <v>-7.1428571428571425E-2</v>
      </c>
      <c r="J17" s="4">
        <f t="shared" si="13"/>
        <v>-6.6666666666666666E-2</v>
      </c>
      <c r="K17" s="4">
        <f t="shared" si="13"/>
        <v>-6.25E-2</v>
      </c>
      <c r="L17" s="4">
        <f t="shared" si="13"/>
        <v>-5.8823529411764705E-2</v>
      </c>
      <c r="M17" s="4">
        <f t="shared" si="13"/>
        <v>-5.5555555555555552E-2</v>
      </c>
      <c r="N17" s="4">
        <f t="shared" si="3"/>
        <v>-1.2117747448629803</v>
      </c>
      <c r="O17" s="3"/>
    </row>
    <row r="18" spans="1:16" x14ac:dyDescent="0.2">
      <c r="A18" s="4">
        <f>1/(INT((ROW()+1)/2)+COLUMN()-3)</f>
        <v>0.14285714285714285</v>
      </c>
      <c r="B18" s="4">
        <f t="shared" ref="B18:M18" si="14">1/(INT((ROW()+1)/2)+COLUMN()-3)</f>
        <v>0.125</v>
      </c>
      <c r="C18" s="4">
        <f t="shared" si="14"/>
        <v>0.1111111111111111</v>
      </c>
      <c r="D18" s="4">
        <f t="shared" si="14"/>
        <v>0.1</v>
      </c>
      <c r="E18" s="4">
        <f t="shared" si="14"/>
        <v>9.0909090909090912E-2</v>
      </c>
      <c r="F18" s="4">
        <f t="shared" si="14"/>
        <v>8.3333333333333329E-2</v>
      </c>
      <c r="G18" s="4">
        <f t="shared" si="14"/>
        <v>7.6923076923076927E-2</v>
      </c>
      <c r="H18" s="4">
        <f t="shared" si="14"/>
        <v>7.1428571428571425E-2</v>
      </c>
      <c r="I18" s="4">
        <f t="shared" si="14"/>
        <v>6.6666666666666666E-2</v>
      </c>
      <c r="J18" s="4">
        <f t="shared" si="14"/>
        <v>6.25E-2</v>
      </c>
      <c r="K18" s="4">
        <f t="shared" si="14"/>
        <v>5.8823529411764705E-2</v>
      </c>
      <c r="L18" s="4">
        <f t="shared" si="14"/>
        <v>5.5555555555555552E-2</v>
      </c>
      <c r="M18" s="4">
        <f t="shared" si="14"/>
        <v>5.2631578947368418E-2</v>
      </c>
      <c r="N18" s="4">
        <f t="shared" si="3"/>
        <v>1.0977396571436819</v>
      </c>
      <c r="O18" s="3"/>
    </row>
    <row r="19" spans="1:16" x14ac:dyDescent="0.2">
      <c r="A19" s="4">
        <f>-1/(INT((ROW()+1)/2)+COLUMN()-4)</f>
        <v>-0.14285714285714285</v>
      </c>
      <c r="B19" s="4">
        <f t="shared" ref="B19:M19" si="15">-1/(INT((ROW()+1)/2)+COLUMN()-4)</f>
        <v>-0.125</v>
      </c>
      <c r="C19" s="4">
        <f t="shared" si="15"/>
        <v>-0.1111111111111111</v>
      </c>
      <c r="D19" s="4">
        <f t="shared" si="15"/>
        <v>-0.1</v>
      </c>
      <c r="E19" s="4">
        <f t="shared" si="15"/>
        <v>-9.0909090909090912E-2</v>
      </c>
      <c r="F19" s="4">
        <f t="shared" si="15"/>
        <v>-8.3333333333333329E-2</v>
      </c>
      <c r="G19" s="4">
        <f t="shared" si="15"/>
        <v>-7.6923076923076927E-2</v>
      </c>
      <c r="H19" s="4">
        <f t="shared" si="15"/>
        <v>-7.1428571428571425E-2</v>
      </c>
      <c r="I19" s="4">
        <f t="shared" si="15"/>
        <v>-6.6666666666666666E-2</v>
      </c>
      <c r="J19" s="4">
        <f t="shared" si="15"/>
        <v>-6.25E-2</v>
      </c>
      <c r="K19" s="4">
        <f t="shared" si="15"/>
        <v>-5.8823529411764705E-2</v>
      </c>
      <c r="L19" s="4">
        <f t="shared" si="15"/>
        <v>-5.5555555555555552E-2</v>
      </c>
      <c r="M19" s="4">
        <f t="shared" si="15"/>
        <v>-5.2631578947368418E-2</v>
      </c>
      <c r="N19" s="4">
        <f t="shared" si="3"/>
        <v>-1.0977396571436819</v>
      </c>
      <c r="O19" s="3"/>
      <c r="P19" s="5"/>
    </row>
    <row r="20" spans="1:16" x14ac:dyDescent="0.2">
      <c r="A20" s="4">
        <f>1/(INT((ROW()+1)/2)+COLUMN()-3)</f>
        <v>0.125</v>
      </c>
      <c r="B20" s="4">
        <f t="shared" ref="B20:M20" si="16">1/(INT((ROW()+1)/2)+COLUMN()-3)</f>
        <v>0.1111111111111111</v>
      </c>
      <c r="C20" s="4">
        <f t="shared" si="16"/>
        <v>0.1</v>
      </c>
      <c r="D20" s="4">
        <f t="shared" si="16"/>
        <v>9.0909090909090912E-2</v>
      </c>
      <c r="E20" s="4">
        <f t="shared" si="16"/>
        <v>8.3333333333333329E-2</v>
      </c>
      <c r="F20" s="4">
        <f t="shared" si="16"/>
        <v>7.6923076923076927E-2</v>
      </c>
      <c r="G20" s="4">
        <f t="shared" si="16"/>
        <v>7.1428571428571425E-2</v>
      </c>
      <c r="H20" s="4">
        <f t="shared" si="16"/>
        <v>6.6666666666666666E-2</v>
      </c>
      <c r="I20" s="4">
        <f t="shared" si="16"/>
        <v>6.25E-2</v>
      </c>
      <c r="J20" s="4">
        <f t="shared" si="16"/>
        <v>5.8823529411764705E-2</v>
      </c>
      <c r="K20" s="4">
        <f t="shared" si="16"/>
        <v>5.5555555555555552E-2</v>
      </c>
      <c r="L20" s="4">
        <f t="shared" si="16"/>
        <v>5.2631578947368418E-2</v>
      </c>
      <c r="M20" s="4">
        <f t="shared" si="16"/>
        <v>0.05</v>
      </c>
      <c r="N20" s="4">
        <f t="shared" si="3"/>
        <v>1.0048825142865392</v>
      </c>
      <c r="O20" s="3"/>
    </row>
    <row r="21" spans="1:16" x14ac:dyDescent="0.2">
      <c r="A21" s="4">
        <f>-1/(INT((ROW()+1)/2)+COLUMN()-4)</f>
        <v>-0.125</v>
      </c>
      <c r="B21" s="4">
        <f t="shared" ref="B21:M21" si="17">-1/(INT((ROW()+1)/2)+COLUMN()-4)</f>
        <v>-0.1111111111111111</v>
      </c>
      <c r="C21" s="4">
        <f t="shared" si="17"/>
        <v>-0.1</v>
      </c>
      <c r="D21" s="4">
        <f t="shared" si="17"/>
        <v>-9.0909090909090912E-2</v>
      </c>
      <c r="E21" s="4">
        <f t="shared" si="17"/>
        <v>-8.3333333333333329E-2</v>
      </c>
      <c r="F21" s="4">
        <f t="shared" si="17"/>
        <v>-7.6923076923076927E-2</v>
      </c>
      <c r="G21" s="4">
        <f t="shared" si="17"/>
        <v>-7.1428571428571425E-2</v>
      </c>
      <c r="H21" s="4">
        <f t="shared" si="17"/>
        <v>-6.6666666666666666E-2</v>
      </c>
      <c r="I21" s="4">
        <f t="shared" si="17"/>
        <v>-6.25E-2</v>
      </c>
      <c r="J21" s="4">
        <f t="shared" si="17"/>
        <v>-5.8823529411764705E-2</v>
      </c>
      <c r="K21" s="4">
        <f t="shared" si="17"/>
        <v>-5.5555555555555552E-2</v>
      </c>
      <c r="L21" s="4">
        <f t="shared" si="17"/>
        <v>-5.2631578947368418E-2</v>
      </c>
      <c r="M21" s="4">
        <f t="shared" si="17"/>
        <v>-0.05</v>
      </c>
      <c r="N21" s="4">
        <f t="shared" si="3"/>
        <v>-1.0048825142865392</v>
      </c>
      <c r="O21" s="3"/>
    </row>
    <row r="22" spans="1:16" x14ac:dyDescent="0.2">
      <c r="A22" s="4">
        <f>1/(INT((ROW()+1)/2)+COLUMN()-3)</f>
        <v>0.1111111111111111</v>
      </c>
      <c r="B22" s="4">
        <f t="shared" ref="B22:M22" si="18">1/(INT((ROW()+1)/2)+COLUMN()-3)</f>
        <v>0.1</v>
      </c>
      <c r="C22" s="4">
        <f t="shared" si="18"/>
        <v>9.0909090909090912E-2</v>
      </c>
      <c r="D22" s="4">
        <f t="shared" si="18"/>
        <v>8.3333333333333329E-2</v>
      </c>
      <c r="E22" s="4">
        <f t="shared" si="18"/>
        <v>7.6923076923076927E-2</v>
      </c>
      <c r="F22" s="4">
        <f t="shared" si="18"/>
        <v>7.1428571428571425E-2</v>
      </c>
      <c r="G22" s="4">
        <f t="shared" si="18"/>
        <v>6.6666666666666666E-2</v>
      </c>
      <c r="H22" s="4">
        <f t="shared" si="18"/>
        <v>6.25E-2</v>
      </c>
      <c r="I22" s="4">
        <f t="shared" si="18"/>
        <v>5.8823529411764705E-2</v>
      </c>
      <c r="J22" s="4">
        <f t="shared" si="18"/>
        <v>5.5555555555555552E-2</v>
      </c>
      <c r="K22" s="4">
        <f t="shared" si="18"/>
        <v>5.2631578947368418E-2</v>
      </c>
      <c r="L22" s="4">
        <f t="shared" si="18"/>
        <v>0.05</v>
      </c>
      <c r="M22" s="4">
        <f t="shared" si="18"/>
        <v>4.7619047619047616E-2</v>
      </c>
      <c r="N22" s="4">
        <f t="shared" si="3"/>
        <v>0.92750156190558686</v>
      </c>
      <c r="O22" s="3"/>
    </row>
    <row r="23" spans="1:16" x14ac:dyDescent="0.2">
      <c r="A23" s="4">
        <f>-1/(INT((ROW()+1)/2)+COLUMN()-4)</f>
        <v>-0.1111111111111111</v>
      </c>
      <c r="B23" s="4">
        <f t="shared" ref="B23:M23" si="19">-1/(INT((ROW()+1)/2)+COLUMN()-4)</f>
        <v>-0.1</v>
      </c>
      <c r="C23" s="4">
        <f t="shared" si="19"/>
        <v>-9.0909090909090912E-2</v>
      </c>
      <c r="D23" s="4">
        <f t="shared" si="19"/>
        <v>-8.3333333333333329E-2</v>
      </c>
      <c r="E23" s="4">
        <f t="shared" si="19"/>
        <v>-7.6923076923076927E-2</v>
      </c>
      <c r="F23" s="4">
        <f t="shared" si="19"/>
        <v>-7.1428571428571425E-2</v>
      </c>
      <c r="G23" s="4">
        <f t="shared" si="19"/>
        <v>-6.6666666666666666E-2</v>
      </c>
      <c r="H23" s="4">
        <f t="shared" si="19"/>
        <v>-6.25E-2</v>
      </c>
      <c r="I23" s="4">
        <f t="shared" si="19"/>
        <v>-5.8823529411764705E-2</v>
      </c>
      <c r="J23" s="4">
        <f t="shared" si="19"/>
        <v>-5.5555555555555552E-2</v>
      </c>
      <c r="K23" s="4">
        <f t="shared" si="19"/>
        <v>-5.2631578947368418E-2</v>
      </c>
      <c r="L23" s="4">
        <f t="shared" si="19"/>
        <v>-0.05</v>
      </c>
      <c r="M23" s="4">
        <f t="shared" si="19"/>
        <v>-4.7619047619047616E-2</v>
      </c>
      <c r="N23" s="4">
        <f t="shared" si="3"/>
        <v>-0.92750156190558686</v>
      </c>
      <c r="O23" s="3"/>
    </row>
    <row r="24" spans="1:16" x14ac:dyDescent="0.2">
      <c r="A24" s="4">
        <f>1/(INT((ROW()+1)/2)+COLUMN()-3)</f>
        <v>0.1</v>
      </c>
      <c r="B24" s="4">
        <f t="shared" ref="B24:M24" si="20">1/(INT((ROW()+1)/2)+COLUMN()-3)</f>
        <v>9.0909090909090912E-2</v>
      </c>
      <c r="C24" s="4">
        <f t="shared" si="20"/>
        <v>8.3333333333333329E-2</v>
      </c>
      <c r="D24" s="4">
        <f t="shared" si="20"/>
        <v>7.6923076923076927E-2</v>
      </c>
      <c r="E24" s="4">
        <f t="shared" si="20"/>
        <v>7.1428571428571425E-2</v>
      </c>
      <c r="F24" s="4">
        <f t="shared" si="20"/>
        <v>6.6666666666666666E-2</v>
      </c>
      <c r="G24" s="4">
        <f t="shared" si="20"/>
        <v>6.25E-2</v>
      </c>
      <c r="H24" s="4">
        <f t="shared" si="20"/>
        <v>5.8823529411764705E-2</v>
      </c>
      <c r="I24" s="4">
        <f t="shared" si="20"/>
        <v>5.5555555555555552E-2</v>
      </c>
      <c r="J24" s="4">
        <f t="shared" si="20"/>
        <v>5.2631578947368418E-2</v>
      </c>
      <c r="K24" s="4">
        <f t="shared" si="20"/>
        <v>0.05</v>
      </c>
      <c r="L24" s="4">
        <f t="shared" si="20"/>
        <v>4.7619047619047616E-2</v>
      </c>
      <c r="M24" s="4">
        <f t="shared" si="20"/>
        <v>4.5454545454545456E-2</v>
      </c>
      <c r="N24" s="4">
        <f t="shared" si="3"/>
        <v>0.86184499624902111</v>
      </c>
      <c r="O24" s="3"/>
    </row>
    <row r="25" spans="1:16" x14ac:dyDescent="0.2">
      <c r="A25" s="4">
        <f>-1/(INT((ROW()+1)/2)+COLUMN()-4)</f>
        <v>-0.1</v>
      </c>
      <c r="B25" s="4">
        <f t="shared" ref="B25:M25" si="21">-1/(INT((ROW()+1)/2)+COLUMN()-4)</f>
        <v>-9.0909090909090912E-2</v>
      </c>
      <c r="C25" s="4">
        <f t="shared" si="21"/>
        <v>-8.3333333333333329E-2</v>
      </c>
      <c r="D25" s="4">
        <f t="shared" si="21"/>
        <v>-7.6923076923076927E-2</v>
      </c>
      <c r="E25" s="4">
        <f t="shared" si="21"/>
        <v>-7.1428571428571425E-2</v>
      </c>
      <c r="F25" s="4">
        <f t="shared" si="21"/>
        <v>-6.6666666666666666E-2</v>
      </c>
      <c r="G25" s="4">
        <f t="shared" si="21"/>
        <v>-6.25E-2</v>
      </c>
      <c r="H25" s="4">
        <f t="shared" si="21"/>
        <v>-5.8823529411764705E-2</v>
      </c>
      <c r="I25" s="4">
        <f t="shared" si="21"/>
        <v>-5.5555555555555552E-2</v>
      </c>
      <c r="J25" s="4">
        <f t="shared" si="21"/>
        <v>-5.2631578947368418E-2</v>
      </c>
      <c r="K25" s="4">
        <f t="shared" si="21"/>
        <v>-0.05</v>
      </c>
      <c r="L25" s="4">
        <f t="shared" si="21"/>
        <v>-4.7619047619047616E-2</v>
      </c>
      <c r="M25" s="4">
        <f t="shared" si="21"/>
        <v>-4.5454545454545456E-2</v>
      </c>
      <c r="N25" s="4">
        <f t="shared" si="3"/>
        <v>-0.86184499624902111</v>
      </c>
      <c r="O25" s="3"/>
    </row>
    <row r="26" spans="1:16" x14ac:dyDescent="0.2">
      <c r="A26" s="4">
        <f>1/(INT((ROW()+1)/2)+COLUMN()-3)</f>
        <v>9.0909090909090912E-2</v>
      </c>
      <c r="B26" s="4">
        <f t="shared" ref="B26:M26" si="22">1/(INT((ROW()+1)/2)+COLUMN()-3)</f>
        <v>8.3333333333333329E-2</v>
      </c>
      <c r="C26" s="4">
        <f t="shared" si="22"/>
        <v>7.6923076923076927E-2</v>
      </c>
      <c r="D26" s="4">
        <f t="shared" si="22"/>
        <v>7.1428571428571425E-2</v>
      </c>
      <c r="E26" s="4">
        <f t="shared" si="22"/>
        <v>6.6666666666666666E-2</v>
      </c>
      <c r="F26" s="4">
        <f t="shared" si="22"/>
        <v>6.25E-2</v>
      </c>
      <c r="G26" s="4">
        <f t="shared" si="22"/>
        <v>5.8823529411764705E-2</v>
      </c>
      <c r="H26" s="4">
        <f t="shared" si="22"/>
        <v>5.5555555555555552E-2</v>
      </c>
      <c r="I26" s="4">
        <f t="shared" si="22"/>
        <v>5.2631578947368418E-2</v>
      </c>
      <c r="J26" s="4">
        <f t="shared" si="22"/>
        <v>0.05</v>
      </c>
      <c r="K26" s="4">
        <f t="shared" si="22"/>
        <v>4.7619047619047616E-2</v>
      </c>
      <c r="L26" s="4">
        <f t="shared" si="22"/>
        <v>4.5454545454545456E-2</v>
      </c>
      <c r="M26" s="4">
        <f t="shared" si="22"/>
        <v>4.3478260869565216E-2</v>
      </c>
      <c r="N26" s="4">
        <f t="shared" si="3"/>
        <v>0.80532325711858621</v>
      </c>
      <c r="O26" s="3"/>
    </row>
    <row r="27" spans="1:16" x14ac:dyDescent="0.2">
      <c r="A27" s="4">
        <f>-1/(INT((ROW()+1)/2)+COLUMN()-4)</f>
        <v>-9.0909090909090912E-2</v>
      </c>
      <c r="B27" s="4">
        <f t="shared" ref="B27:M27" si="23">-1/(INT((ROW()+1)/2)+COLUMN()-4)</f>
        <v>-8.3333333333333329E-2</v>
      </c>
      <c r="C27" s="4">
        <f t="shared" si="23"/>
        <v>-7.6923076923076927E-2</v>
      </c>
      <c r="D27" s="4">
        <f t="shared" si="23"/>
        <v>-7.1428571428571425E-2</v>
      </c>
      <c r="E27" s="4">
        <f t="shared" si="23"/>
        <v>-6.6666666666666666E-2</v>
      </c>
      <c r="F27" s="4">
        <f t="shared" si="23"/>
        <v>-6.25E-2</v>
      </c>
      <c r="G27" s="4">
        <f t="shared" si="23"/>
        <v>-5.8823529411764705E-2</v>
      </c>
      <c r="H27" s="4">
        <f t="shared" si="23"/>
        <v>-5.5555555555555552E-2</v>
      </c>
      <c r="I27" s="4">
        <f t="shared" si="23"/>
        <v>-5.2631578947368418E-2</v>
      </c>
      <c r="J27" s="4">
        <f t="shared" si="23"/>
        <v>-0.05</v>
      </c>
      <c r="K27" s="4">
        <f t="shared" si="23"/>
        <v>-4.7619047619047616E-2</v>
      </c>
      <c r="L27" s="4">
        <f t="shared" si="23"/>
        <v>-4.5454545454545456E-2</v>
      </c>
      <c r="M27" s="4">
        <f t="shared" si="23"/>
        <v>-4.3478260869565216E-2</v>
      </c>
      <c r="N27" s="4">
        <f t="shared" si="3"/>
        <v>-0.80532325711858621</v>
      </c>
      <c r="O27" s="3"/>
    </row>
    <row r="28" spans="1:16" x14ac:dyDescent="0.2">
      <c r="A28" s="4">
        <f>1/(INT((ROW()+1)/2)+COLUMN()-3)</f>
        <v>8.3333333333333329E-2</v>
      </c>
      <c r="B28" s="4">
        <f t="shared" ref="B28:M30" si="24">1/(INT((ROW()+1)/2)+COLUMN()-3)</f>
        <v>7.6923076923076927E-2</v>
      </c>
      <c r="C28" s="4">
        <f t="shared" si="24"/>
        <v>7.1428571428571425E-2</v>
      </c>
      <c r="D28" s="4">
        <f t="shared" si="24"/>
        <v>6.6666666666666666E-2</v>
      </c>
      <c r="E28" s="4">
        <f t="shared" si="24"/>
        <v>6.25E-2</v>
      </c>
      <c r="F28" s="4">
        <f t="shared" si="24"/>
        <v>5.8823529411764705E-2</v>
      </c>
      <c r="G28" s="4">
        <f t="shared" si="24"/>
        <v>5.5555555555555552E-2</v>
      </c>
      <c r="H28" s="4">
        <f t="shared" si="24"/>
        <v>5.2631578947368418E-2</v>
      </c>
      <c r="I28" s="4">
        <f t="shared" si="24"/>
        <v>0.05</v>
      </c>
      <c r="J28" s="4">
        <f t="shared" si="24"/>
        <v>4.7619047619047616E-2</v>
      </c>
      <c r="K28" s="4">
        <f t="shared" si="24"/>
        <v>4.5454545454545456E-2</v>
      </c>
      <c r="L28" s="4">
        <f t="shared" si="24"/>
        <v>4.3478260869565216E-2</v>
      </c>
      <c r="M28" s="4">
        <f t="shared" si="24"/>
        <v>4.1666666666666664E-2</v>
      </c>
      <c r="N28" s="4">
        <f t="shared" si="3"/>
        <v>0.75608083287616201</v>
      </c>
      <c r="O28" s="3"/>
    </row>
    <row r="29" spans="1:16" x14ac:dyDescent="0.2">
      <c r="A29" s="4">
        <f>-1/(INT((ROW()+1)/2)+COLUMN()-4)</f>
        <v>-8.3333333333333329E-2</v>
      </c>
      <c r="B29" s="4">
        <f t="shared" ref="B29:M31" si="25">-1/(INT((ROW()+1)/2)+COLUMN()-4)</f>
        <v>-7.6923076923076927E-2</v>
      </c>
      <c r="C29" s="4">
        <f t="shared" si="25"/>
        <v>-7.1428571428571425E-2</v>
      </c>
      <c r="D29" s="4">
        <f t="shared" si="25"/>
        <v>-6.6666666666666666E-2</v>
      </c>
      <c r="E29" s="4">
        <f t="shared" si="25"/>
        <v>-6.25E-2</v>
      </c>
      <c r="F29" s="4">
        <f t="shared" si="25"/>
        <v>-5.8823529411764705E-2</v>
      </c>
      <c r="G29" s="4">
        <f t="shared" si="25"/>
        <v>-5.5555555555555552E-2</v>
      </c>
      <c r="H29" s="4">
        <f t="shared" si="25"/>
        <v>-5.2631578947368418E-2</v>
      </c>
      <c r="I29" s="4">
        <f t="shared" si="25"/>
        <v>-0.05</v>
      </c>
      <c r="J29" s="4">
        <f t="shared" si="25"/>
        <v>-4.7619047619047616E-2</v>
      </c>
      <c r="K29" s="4">
        <f t="shared" si="25"/>
        <v>-4.5454545454545456E-2</v>
      </c>
      <c r="L29" s="4">
        <f t="shared" si="25"/>
        <v>-4.3478260869565216E-2</v>
      </c>
      <c r="M29" s="4">
        <f t="shared" si="25"/>
        <v>-4.1666666666666664E-2</v>
      </c>
      <c r="N29" s="4">
        <f t="shared" si="3"/>
        <v>-0.75608083287616201</v>
      </c>
      <c r="O29" s="3"/>
    </row>
    <row r="30" spans="1:16" x14ac:dyDescent="0.2">
      <c r="A30" s="4">
        <f>1/(INT((ROW()+1)/2)+COLUMN()-3)</f>
        <v>7.6923076923076927E-2</v>
      </c>
      <c r="B30" s="4">
        <f t="shared" si="24"/>
        <v>7.1428571428571425E-2</v>
      </c>
      <c r="C30" s="4">
        <f t="shared" si="24"/>
        <v>6.6666666666666666E-2</v>
      </c>
      <c r="D30" s="4">
        <f t="shared" si="24"/>
        <v>6.25E-2</v>
      </c>
      <c r="E30" s="4">
        <f t="shared" si="24"/>
        <v>5.8823529411764705E-2</v>
      </c>
      <c r="F30" s="4">
        <f t="shared" si="24"/>
        <v>5.5555555555555552E-2</v>
      </c>
      <c r="G30" s="4">
        <f t="shared" si="24"/>
        <v>5.2631578947368418E-2</v>
      </c>
      <c r="H30" s="4">
        <f t="shared" si="24"/>
        <v>0.05</v>
      </c>
      <c r="I30" s="4">
        <f t="shared" si="24"/>
        <v>4.7619047619047616E-2</v>
      </c>
      <c r="J30" s="4">
        <f t="shared" si="24"/>
        <v>4.5454545454545456E-2</v>
      </c>
      <c r="K30" s="4">
        <f t="shared" si="24"/>
        <v>4.3478260869565216E-2</v>
      </c>
      <c r="L30" s="4">
        <f t="shared" si="24"/>
        <v>4.1666666666666664E-2</v>
      </c>
      <c r="M30" s="4">
        <f t="shared" si="24"/>
        <v>0.04</v>
      </c>
      <c r="N30" s="4">
        <f t="shared" si="3"/>
        <v>0.71274749954282857</v>
      </c>
      <c r="O30" s="3"/>
    </row>
    <row r="31" spans="1:16" x14ac:dyDescent="0.2">
      <c r="A31" s="4">
        <f>-1/(INT((ROW()+1)/2)+COLUMN()-4)</f>
        <v>-7.6923076923076927E-2</v>
      </c>
      <c r="B31" s="4">
        <f t="shared" si="25"/>
        <v>-7.1428571428571425E-2</v>
      </c>
      <c r="C31" s="4">
        <f t="shared" si="25"/>
        <v>-6.6666666666666666E-2</v>
      </c>
      <c r="D31" s="4">
        <f t="shared" si="25"/>
        <v>-6.25E-2</v>
      </c>
      <c r="E31" s="4">
        <f t="shared" si="25"/>
        <v>-5.8823529411764705E-2</v>
      </c>
      <c r="F31" s="4">
        <f t="shared" si="25"/>
        <v>-5.5555555555555552E-2</v>
      </c>
      <c r="G31" s="4">
        <f t="shared" si="25"/>
        <v>-5.2631578947368418E-2</v>
      </c>
      <c r="H31" s="4">
        <f t="shared" si="25"/>
        <v>-0.05</v>
      </c>
      <c r="I31" s="4">
        <f t="shared" si="25"/>
        <v>-4.7619047619047616E-2</v>
      </c>
      <c r="J31" s="4">
        <f t="shared" si="25"/>
        <v>-4.5454545454545456E-2</v>
      </c>
      <c r="K31" s="4">
        <f t="shared" si="25"/>
        <v>-4.3478260869565216E-2</v>
      </c>
      <c r="L31" s="4">
        <f t="shared" si="25"/>
        <v>-4.1666666666666664E-2</v>
      </c>
      <c r="M31" s="4">
        <f t="shared" si="25"/>
        <v>-0.04</v>
      </c>
      <c r="N31" s="4">
        <f t="shared" si="3"/>
        <v>-0.71274749954282857</v>
      </c>
      <c r="O31" s="3"/>
    </row>
    <row r="32" spans="1:16" x14ac:dyDescent="0.2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 t="s">
        <v>21</v>
      </c>
      <c r="O32" s="7" t="s">
        <v>45</v>
      </c>
    </row>
    <row r="33" spans="1:15" x14ac:dyDescent="0.2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9">
        <v>52</v>
      </c>
      <c r="O33" s="7" t="s">
        <v>1</v>
      </c>
    </row>
    <row r="34" spans="1:15" x14ac:dyDescent="0.2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11">
        <f>MAX(MAX(A32:M32)-1,1-MIN(A32:M32))</f>
        <v>1</v>
      </c>
      <c r="O34" s="7" t="s">
        <v>2</v>
      </c>
    </row>
  </sheetData>
  <pageMargins left="0.70866141732283472" right="0.70866141732283472" top="0.74803149606299213" bottom="0.74803149606299213" header="0.31496062992125984" footer="0.31496062992125984"/>
  <pageSetup paperSize="9" scale="83" orientation="landscape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Usage</vt:lpstr>
      <vt:lpstr>LP Model</vt:lpstr>
      <vt:lpstr>Results</vt:lpstr>
      <vt:lpstr>LP Model (7)</vt:lpstr>
      <vt:lpstr>LP Model (8)</vt:lpstr>
      <vt:lpstr>LP Model (9)</vt:lpstr>
      <vt:lpstr>LP Model (10)</vt:lpstr>
      <vt:lpstr>LP Model (11)</vt:lpstr>
      <vt:lpstr>LP Model (12)</vt:lpstr>
      <vt:lpstr>LP Model (13)</vt:lpstr>
    </vt:vector>
  </TitlesOfParts>
  <Company>PLUTONIC RESOURCES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Cooper</dc:creator>
  <cp:lastModifiedBy>AlanCooper</cp:lastModifiedBy>
  <cp:lastPrinted>2010-01-19T04:54:14Z</cp:lastPrinted>
  <dcterms:created xsi:type="dcterms:W3CDTF">1997-10-09T07:47:32Z</dcterms:created>
  <dcterms:modified xsi:type="dcterms:W3CDTF">2016-07-28T03:06:31Z</dcterms:modified>
</cp:coreProperties>
</file>